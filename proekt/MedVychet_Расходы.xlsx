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📋 Инструкция" sheetId="1" state="visible" r:id="rId3"/>
    <sheet name="⚙️ Допущения" sheetId="2" state="visible" r:id="rId4"/>
    <sheet name="🚀 MVP (0–100 MAU)" sheetId="3" state="visible" r:id="rId5"/>
    <sheet name="📈 1 000 MAU" sheetId="4" state="visible" r:id="rId6"/>
    <sheet name="🚀 5 000 MAU" sheetId="5" state="visible" r:id="rId7"/>
    <sheet name="📊 Сводка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<sst xmlns="http://schemas.openxmlformats.org/spreadsheetml/2006/main" count="304" uniqueCount="181">
  <si>
    <t xml:space="preserve">MedВычет — Калькулятор расходов</t>
  </si>
  <si>
    <t xml:space="preserve">Версия: 2.0 · Март 2025 · Расчёт в рублях с НДС</t>
  </si>
  <si>
    <t xml:space="preserve">ЛИСТЫ В ФАЙЛЕ</t>
  </si>
  <si>
    <t xml:space="preserve">📋 Инструкция</t>
  </si>
  <si>
    <t xml:space="preserve">Легенда и описание модели</t>
  </si>
  <si>
    <t xml:space="preserve">⚙️ Допущения</t>
  </si>
  <si>
    <t xml:space="preserve">Все изменяемые параметры (синий цвет = ввод)</t>
  </si>
  <si>
    <t xml:space="preserve">🚀 MVP (0–100 MAU)</t>
  </si>
  <si>
    <t xml:space="preserve">Расходы на период разработки и начального запуска</t>
  </si>
  <si>
    <t xml:space="preserve">📈 1 000 MAU</t>
  </si>
  <si>
    <t xml:space="preserve">Расходы при 1 000 активных пользователей в месяц</t>
  </si>
  <si>
    <t xml:space="preserve">🚀 5 000 MAU</t>
  </si>
  <si>
    <t xml:space="preserve">Расходы при 5 000 активных пользователей в месяц</t>
  </si>
  <si>
    <t xml:space="preserve">📊 Сводка</t>
  </si>
  <si>
    <t xml:space="preserve">Итоговое сравнение всех сценариев на одном листе</t>
  </si>
  <si>
    <t xml:space="preserve">ЦВЕТОВАЯ ЛЕГЕНДА</t>
  </si>
  <si>
    <t xml:space="preserve">Синий текст</t>
  </si>
  <si>
    <t xml:space="preserve">Изменяемое допущение / входной параметр (вводи здесь)</t>
  </si>
  <si>
    <t xml:space="preserve">Чёрный текст</t>
  </si>
  <si>
    <t xml:space="preserve">Формула / расчётное значение (не менять вручную)</t>
  </si>
  <si>
    <t xml:space="preserve">Жёлтый фон</t>
  </si>
  <si>
    <t xml:space="preserve">Ключевое допущение — требует особого внимания</t>
  </si>
  <si>
    <t xml:space="preserve">ИСТОЧНИКИ ЦЕН</t>
  </si>
  <si>
    <t xml:space="preserve">Yandex Cloud</t>
  </si>
  <si>
    <t xml:space="preserve">yandex.cloud/ru/prices — цены актуальны на март 2025 (повышение до 8% с 1 мая 2025)</t>
  </si>
  <si>
    <t xml:space="preserve">YOS (Object Storage)</t>
  </si>
  <si>
    <t xml:space="preserve">100 ГБ = 68 ₽/мес (холодное хранилище)</t>
  </si>
  <si>
    <t xml:space="preserve">Google Vision API</t>
  </si>
  <si>
    <t xml:space="preserve">$1.50 / 1000 запросов OCR, первые 1000 — бесплатно</t>
  </si>
  <si>
    <t xml:space="preserve">Sentry</t>
  </si>
  <si>
    <t xml:space="preserve">Developer (бесплатно до 5k ошибок/мес), Team от 2160 ₽/мес</t>
  </si>
  <si>
    <t xml:space="preserve">Курс USD→RUB</t>
  </si>
  <si>
    <t xml:space="preserve">Допущение: 90 ₽/$. Изменить в листе Допущения</t>
  </si>
  <si>
    <t xml:space="preserve">⚙️ Допущения — все изменяемые параметры модели</t>
  </si>
  <si>
    <t xml:space="preserve">Параметр</t>
  </si>
  <si>
    <t xml:space="preserve">MVP (0–100 MAU)</t>
  </si>
  <si>
    <t xml:space="preserve">1 000 MAU</t>
  </si>
  <si>
    <t xml:space="preserve">5 000 MAU</t>
  </si>
  <si>
    <t xml:space="preserve">Ед. изм.</t>
  </si>
  <si>
    <t xml:space="preserve">Примечание</t>
  </si>
  <si>
    <t xml:space="preserve">👥 Пользователи</t>
  </si>
  <si>
    <t xml:space="preserve">MAU (активных пользователей/мес)</t>
  </si>
  <si>
    <t xml:space="preserve">Изменяемый параметр</t>
  </si>
  <si>
    <t xml:space="preserve">Чеков на пользователя/мес (avg)</t>
  </si>
  <si>
    <t xml:space="preserve">Free: 20/год → ~2/мес; Pro: без лимита</t>
  </si>
  <si>
    <t xml:space="preserve">Доля Pro-пользователей</t>
  </si>
  <si>
    <t xml:space="preserve">Целевая конверсия Free → Pro</t>
  </si>
  <si>
    <t xml:space="preserve">Цена Pro-тарифа (₽/год)</t>
  </si>
  <si>
    <t xml:space="preserve">Текущий прайс</t>
  </si>
  <si>
    <t xml:space="preserve">🧾 Чеки и OCR</t>
  </si>
  <si>
    <t xml:space="preserve">Доля чеков с QR-кодом</t>
  </si>
  <si>
    <t xml:space="preserve">Аптечные чеки с 2017г. обязаны иметь QR</t>
  </si>
  <si>
    <t xml:space="preserve">Доля Pro-чеков → Vision API (Фаза 7)</t>
  </si>
  <si>
    <t xml:space="preserve">0% до Фазы 7</t>
  </si>
  <si>
    <t xml:space="preserve">Рецептов загружается / чек</t>
  </si>
  <si>
    <t xml:space="preserve">Не каждый чек требует рецепта</t>
  </si>
  <si>
    <t xml:space="preserve">💱 Валюта и прочее</t>
  </si>
  <si>
    <t xml:space="preserve">Курс USD → RUB</t>
  </si>
  <si>
    <t xml:space="preserve">Использовать текущий курс ЦБ</t>
  </si>
  <si>
    <t xml:space="preserve">НДС включён в цены (да=1)</t>
  </si>
  <si>
    <t xml:space="preserve">Все цены Yandex Cloud с НДС</t>
  </si>
  <si>
    <t xml:space="preserve">🖥️ Виртуальные машины (Yandex Cloud Compute)</t>
  </si>
  <si>
    <t xml:space="preserve">API-серверы: кол-во ВМ</t>
  </si>
  <si>
    <t xml:space="preserve">2 vCPU / 4 GB RAM каждая</t>
  </si>
  <si>
    <t xml:space="preserve">API-сервер: цена ВМ (₽/мес)</t>
  </si>
  <si>
    <t xml:space="preserve">2vCPU+4GB, standard-v3, RU. Источник: Yandex Cloud</t>
  </si>
  <si>
    <t xml:space="preserve">OCR-воркеры: кол-во ВМ</t>
  </si>
  <si>
    <t xml:space="preserve">4 vCPU / 8 GB RAM каждая</t>
  </si>
  <si>
    <t xml:space="preserve">OCR-воркер: цена ВМ (₽/мес)</t>
  </si>
  <si>
    <t xml:space="preserve">4vCPU+8GB, standard-v3, RU. Источник: Yandex Cloud</t>
  </si>
  <si>
    <t xml:space="preserve">Балансировщик нагрузки (₽/мес)</t>
  </si>
  <si>
    <t xml:space="preserve">Yandex Application Load Balancer</t>
  </si>
  <si>
    <t xml:space="preserve">🗄️ База данных (Yandex Managed PostgreSQL)</t>
  </si>
  <si>
    <t xml:space="preserve">PostgreSQL кластер (₽/мес)</t>
  </si>
  <si>
    <t xml:space="preserve">s3-c2-m8 → s3-c4-m16. Источник: Yandex Cloud от 824 ₽</t>
  </si>
  <si>
    <t xml:space="preserve">SSD-диск БД (₽/мес за 10 ГБ)</t>
  </si>
  <si>
    <t xml:space="preserve">~10 ₽/ГБ/мес SSD. Увеличивать по мере роста</t>
  </si>
  <si>
    <t xml:space="preserve">⚡ Redis (очереди Celery)</t>
  </si>
  <si>
    <t xml:space="preserve">Redis: цена (₽/мес)</t>
  </si>
  <si>
    <t xml:space="preserve">Yandex Managed Redis. hm1.nano → hm1.small</t>
  </si>
  <si>
    <t xml:space="preserve">📦 Yandex Object Storage</t>
  </si>
  <si>
    <t xml:space="preserve">Хранилище чеков (ГБ/мес прирост)</t>
  </si>
  <si>
    <t xml:space="preserve">~150 КБ/фото × чеки × MAU</t>
  </si>
  <si>
    <t xml:space="preserve">Хранилище рецептов (ГБ/мес прирост)</t>
  </si>
  <si>
    <t xml:space="preserve">~200 КБ/фото × рецепты × MAU</t>
  </si>
  <si>
    <t xml:space="preserve">Цена YOS (₽/ГБ/мес)</t>
  </si>
  <si>
    <t xml:space="preserve">Стандартное хранилище. Источник: hosting.kitchen/yandex-cloud</t>
  </si>
  <si>
    <t xml:space="preserve">Исходящий трафик (ГБ/мес)</t>
  </si>
  <si>
    <t xml:space="preserve">pre-signed URL: ~1 МБ на просмотр</t>
  </si>
  <si>
    <t xml:space="preserve">Цена трафика YOS (₽/ГБ)</t>
  </si>
  <si>
    <t xml:space="preserve">Исходящий трафик Yandex Cloud</t>
  </si>
  <si>
    <t xml:space="preserve">👁️ Google Vision API (Фаза 7, Pro-тариф)</t>
  </si>
  <si>
    <t xml:space="preserve">Цена Vision API ($/1000 запросов)</t>
  </si>
  <si>
    <t xml:space="preserve">Text Detection OCR. Источник: cloud.google.com/vision/pricing</t>
  </si>
  <si>
    <t xml:space="preserve">Бесплатных запросов/мес</t>
  </si>
  <si>
    <t xml:space="preserve">Первые 1000 ед./мес бесплатно</t>
  </si>
  <si>
    <t xml:space="preserve">🔧 Сторонние сервисы</t>
  </si>
  <si>
    <t xml:space="preserve">Sentry (мониторинг, ₽/мес)</t>
  </si>
  <si>
    <t xml:space="preserve">Developer (бесплатно) → Team от 2160 ₽</t>
  </si>
  <si>
    <t xml:space="preserve">Домен + SSL (₽/мес)</t>
  </si>
  <si>
    <t xml:space="preserve">~1200 ₽/год домен + Let's Encrypt (бесплатно)</t>
  </si>
  <si>
    <t xml:space="preserve">Резерв / прочее (₽/мес)</t>
  </si>
  <si>
    <t xml:space="preserve">Email-рассылка, логи, непредвиденное</t>
  </si>
  <si>
    <t xml:space="preserve">MedВычет — MVP (0–100 MAU)</t>
  </si>
  <si>
    <t xml:space="preserve">Ежемесячные расходы (₽, с НДС) · Все цены изменяются в листе ⚙️ Допущения</t>
  </si>
  <si>
    <t xml:space="preserve">Статья расходов</t>
  </si>
  <si>
    <t xml:space="preserve">₽/мес</t>
  </si>
  <si>
    <t xml:space="preserve">₽/год</t>
  </si>
  <si>
    <t xml:space="preserve">Комментарий</t>
  </si>
  <si>
    <t xml:space="preserve">🖥️  Виртуальные машины</t>
  </si>
  <si>
    <t xml:space="preserve">API-серверы</t>
  </si>
  <si>
    <t xml:space="preserve">кол-во × 1 800 ₽/мес · 2vCPU/4GB</t>
  </si>
  <si>
    <t xml:space="preserve">OCR-воркеры (Celery)</t>
  </si>
  <si>
    <t xml:space="preserve">кол-во × 3 200 ₽/мес · 4vCPU/8GB</t>
  </si>
  <si>
    <t xml:space="preserve">Балансировщик нагрузки</t>
  </si>
  <si>
    <t xml:space="preserve">Yandex ALB. MVP: не нужен</t>
  </si>
  <si>
    <t xml:space="preserve">Итого: ВМ</t>
  </si>
  <si>
    <t xml:space="preserve">🗄️  База данных</t>
  </si>
  <si>
    <t xml:space="preserve">PostgreSQL кластер (Managed)</t>
  </si>
  <si>
    <t xml:space="preserve">Yandex Managed PostgreSQL. MVP: s3-c2-m8</t>
  </si>
  <si>
    <t xml:space="preserve">SSD-диск БД</t>
  </si>
  <si>
    <t xml:space="preserve">~10 ₽/ГБ/мес SSD</t>
  </si>
  <si>
    <t xml:space="preserve">Redis (Celery очереди)</t>
  </si>
  <si>
    <t xml:space="preserve">Yandex Managed Redis</t>
  </si>
  <si>
    <t xml:space="preserve">Итого: БД + Redis</t>
  </si>
  <si>
    <t xml:space="preserve">📦  Yandex Object Storage</t>
  </si>
  <si>
    <t xml:space="preserve">Хранилище чеков</t>
  </si>
  <si>
    <t xml:space="preserve">ГБ прирост × 0.68 ₽/ГБ</t>
  </si>
  <si>
    <t xml:space="preserve">Хранилище рецептов</t>
  </si>
  <si>
    <t xml:space="preserve">Исходящий трафик</t>
  </si>
  <si>
    <t xml:space="preserve">pre-signed URL просмотры</t>
  </si>
  <si>
    <t xml:space="preserve">Итого: Object Storage</t>
  </si>
  <si>
    <t xml:space="preserve">🔍  OCR — расходы на распознавание</t>
  </si>
  <si>
    <t xml:space="preserve">EasyOCR + Tesseract</t>
  </si>
  <si>
    <t xml:space="preserve">Бесплатно (open-source, запускается на своих ВМ)</t>
  </si>
  <si>
    <t xml:space="preserve">ФНС Open API</t>
  </si>
  <si>
    <t xml:space="preserve">Бесплатно (официальный API ФНС)</t>
  </si>
  <si>
    <t xml:space="preserve">Google Vision API (Фаза 7, Pro-тариф)</t>
  </si>
  <si>
    <t xml:space="preserve">MAU × чеков × доля Pro × $1.50/1000 × курс (после 1000 бесплатных)</t>
  </si>
  <si>
    <t xml:space="preserve">Итого: OCR</t>
  </si>
  <si>
    <t xml:space="preserve">🔧  Сторонние сервисы</t>
  </si>
  <si>
    <t xml:space="preserve">Sentry (мониторинг ошибок)</t>
  </si>
  <si>
    <t xml:space="preserve">MVP/1k MAU: бесплатно. 5k MAU: Team 2160 ₽/мес</t>
  </si>
  <si>
    <t xml:space="preserve">Домен + SSL</t>
  </si>
  <si>
    <t xml:space="preserve">Резерв / прочее</t>
  </si>
  <si>
    <t xml:space="preserve">Email, логи, непредвиденные расходы</t>
  </si>
  <si>
    <t xml:space="preserve">Итого: Сторонние сервисы</t>
  </si>
  <si>
    <t xml:space="preserve">💰  ИТОГО РАСХОДОВ В МЕСЯЦ</t>
  </si>
  <si>
    <t xml:space="preserve">💰  ИТОГО РАСХОДОВ В ГОД</t>
  </si>
  <si>
    <t xml:space="preserve">📊  Упрощённый P&amp;L (выручка vs расходы)</t>
  </si>
  <si>
    <t xml:space="preserve">MAU</t>
  </si>
  <si>
    <t xml:space="preserve">Из листа Допущения</t>
  </si>
  <si>
    <t xml:space="preserve">Pro-пользователей (чел.)</t>
  </si>
  <si>
    <t xml:space="preserve">MAU × доля Pro</t>
  </si>
  <si>
    <t xml:space="preserve">Выручка (₽/мес)</t>
  </si>
  <si>
    <t xml:space="preserve">Pro-юзеры × 499 ₽/год / 12</t>
  </si>
  <si>
    <t xml:space="preserve">Расходы (₽/мес)</t>
  </si>
  <si>
    <t xml:space="preserve">EBITDA (₽/мес)</t>
  </si>
  <si>
    <t xml:space="preserve">⚠️ Не включает з/п команды. Отрицательное значение = субсидируемый рост</t>
  </si>
  <si>
    <t xml:space="preserve">MedВычет — 1 000 MAU</t>
  </si>
  <si>
    <t xml:space="preserve">MedВычет — 🚀 5 000 MAU</t>
  </si>
  <si>
    <t xml:space="preserve">📊 Сводка — сравнение сценариев</t>
  </si>
  <si>
    <t xml:space="preserve">Все значения подтягиваются автоматически из листов сценариев</t>
  </si>
  <si>
    <t xml:space="preserve">Статья</t>
  </si>
  <si>
    <t xml:space="preserve">MVP
(0–100 MAU)</t>
  </si>
  <si>
    <t xml:space="preserve">🖥️ ВМ (API + OCR воркеры)</t>
  </si>
  <si>
    <t xml:space="preserve">3 API + 4 OCR воркеры</t>
  </si>
  <si>
    <t xml:space="preserve">🗄️ БД + Redis</t>
  </si>
  <si>
    <t xml:space="preserve">PostgreSQL s3-c4 + Redis medium</t>
  </si>
  <si>
    <t xml:space="preserve">📦 Object Storage</t>
  </si>
  <si>
    <t xml:space="preserve">~180 ГБ/мес прирост</t>
  </si>
  <si>
    <t xml:space="preserve">🔍 OCR (Vision API)</t>
  </si>
  <si>
    <t xml:space="preserve">Vision API для Pro (50%)</t>
  </si>
  <si>
    <t xml:space="preserve">Sentry Team + резерв</t>
  </si>
  <si>
    <t xml:space="preserve">💰 ИТОГО ₽/МЕС</t>
  </si>
  <si>
    <t xml:space="preserve">💰 ИТОГО ₽/ГОД</t>
  </si>
  <si>
    <t xml:space="preserve">👥 MAU</t>
  </si>
  <si>
    <t xml:space="preserve">💵 Выручка ₽/мес</t>
  </si>
  <si>
    <t xml:space="preserve">Конверсия 12%</t>
  </si>
  <si>
    <t xml:space="preserve">📉 EBITDA ₽/мес</t>
  </si>
  <si>
    <t xml:space="preserve">~600 Pro-юзеров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</si>
</sst>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#,##0.0"/>
    <numFmt numFmtId="167" formatCode="0.0%"/>
    <numFmt numFmtId="168" formatCode="0%"/>
    <numFmt numFmtId="169" formatCode="#,##0.00"/>
    <numFmt numFmtId="170" formatCode="#,##0;\(#,##0\);\-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1A56A4"/>
      <name val="Arial"/>
      <family val="0"/>
      <charset val="1"/>
    </font>
    <font>
      <b val="true"/>
      <sz val="10"/>
      <color rgb="FF2D7D46"/>
      <name val="Arial"/>
      <family val="0"/>
      <charset val="1"/>
    </font>
    <font>
      <b val="true"/>
      <sz val="10"/>
      <color rgb="FF1A56A4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A56A4"/>
        <bgColor rgb="FF2E75B6"/>
      </patternFill>
    </fill>
    <fill>
      <patternFill patternType="solid">
        <fgColor rgb="FF2E75B6"/>
        <bgColor rgb="FF1A56A4"/>
      </patternFill>
    </fill>
    <fill>
      <patternFill patternType="solid">
        <fgColor rgb="FFFFFFFF"/>
        <bgColor rgb="FFEBF3FB"/>
      </patternFill>
    </fill>
    <fill>
      <patternFill patternType="solid">
        <fgColor rgb="FFD6E4F7"/>
        <bgColor rgb="FFEBF3FB"/>
      </patternFill>
    </fill>
    <fill>
      <patternFill patternType="solid">
        <fgColor rgb="FFEBF3FB"/>
        <bgColor rgb="FFFFFFFF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11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11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15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EBF3FB"/>
      <rgbColor rgb="FF660066"/>
      <rgbColor rgb="FFFF8080"/>
      <rgbColor rgb="FF1A56A4"/>
      <rgbColor rgb="FFD6E4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2D7D4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"/>
    <col collapsed="false" customWidth="true" hidden="false" outlineLevel="0" max="3" min="3" style="0" width="60"/>
  </cols>
  <sheetData>
    <row r="1" customFormat="false" ht="36" hidden="false" customHeight="true" outlineLevel="0" collapsed="false">
      <c r="B1" s="1" t="s">
        <v>0</v>
      </c>
      <c r="C1" s="1"/>
    </row>
    <row r="2" customFormat="false" ht="19.5" hidden="false" customHeight="true" outlineLevel="0" collapsed="false">
      <c r="B2" s="2" t="s">
        <v>1</v>
      </c>
      <c r="C2" s="2"/>
    </row>
    <row r="3" customFormat="false" ht="18" hidden="false" customHeight="true" outlineLevel="0" collapsed="false">
      <c r="B3" s="3"/>
      <c r="C3" s="3"/>
    </row>
    <row r="4" customFormat="false" ht="18" hidden="false" customHeight="true" outlineLevel="0" collapsed="false">
      <c r="B4" s="4" t="s">
        <v>2</v>
      </c>
      <c r="C4" s="5"/>
    </row>
    <row r="5" customFormat="false" ht="18" hidden="false" customHeight="true" outlineLevel="0" collapsed="false">
      <c r="B5" s="6" t="s">
        <v>3</v>
      </c>
      <c r="C5" s="6" t="s">
        <v>4</v>
      </c>
    </row>
    <row r="6" customFormat="false" ht="18" hidden="false" customHeight="true" outlineLevel="0" collapsed="false">
      <c r="B6" s="6" t="s">
        <v>5</v>
      </c>
      <c r="C6" s="6" t="s">
        <v>6</v>
      </c>
    </row>
    <row r="7" customFormat="false" ht="18" hidden="false" customHeight="true" outlineLevel="0" collapsed="false">
      <c r="B7" s="6" t="s">
        <v>7</v>
      </c>
      <c r="C7" s="6" t="s">
        <v>8</v>
      </c>
    </row>
    <row r="8" customFormat="false" ht="18" hidden="false" customHeight="true" outlineLevel="0" collapsed="false">
      <c r="B8" s="6" t="s">
        <v>9</v>
      </c>
      <c r="C8" s="6" t="s">
        <v>10</v>
      </c>
    </row>
    <row r="9" customFormat="false" ht="18" hidden="false" customHeight="true" outlineLevel="0" collapsed="false">
      <c r="B9" s="6" t="s">
        <v>11</v>
      </c>
      <c r="C9" s="6" t="s">
        <v>12</v>
      </c>
    </row>
    <row r="10" customFormat="false" ht="18" hidden="false" customHeight="true" outlineLevel="0" collapsed="false">
      <c r="B10" s="6" t="s">
        <v>13</v>
      </c>
      <c r="C10" s="6" t="s">
        <v>14</v>
      </c>
    </row>
    <row r="11" customFormat="false" ht="18" hidden="false" customHeight="true" outlineLevel="0" collapsed="false">
      <c r="B11" s="3"/>
      <c r="C11" s="3"/>
    </row>
    <row r="12" customFormat="false" ht="18" hidden="false" customHeight="true" outlineLevel="0" collapsed="false">
      <c r="B12" s="4" t="s">
        <v>15</v>
      </c>
      <c r="C12" s="5"/>
    </row>
    <row r="13" customFormat="false" ht="15" hidden="false" customHeight="false" outlineLevel="0" collapsed="false">
      <c r="B13" s="7" t="s">
        <v>16</v>
      </c>
      <c r="C13" s="3" t="s">
        <v>17</v>
      </c>
    </row>
    <row r="14" customFormat="false" ht="15" hidden="false" customHeight="false" outlineLevel="0" collapsed="false">
      <c r="B14" s="8" t="s">
        <v>18</v>
      </c>
      <c r="C14" s="3" t="s">
        <v>19</v>
      </c>
    </row>
    <row r="15" customFormat="false" ht="15" hidden="false" customHeight="false" outlineLevel="0" collapsed="false">
      <c r="B15" s="9" t="s">
        <v>20</v>
      </c>
      <c r="C15" s="3" t="s">
        <v>21</v>
      </c>
    </row>
    <row r="16" customFormat="false" ht="18" hidden="false" customHeight="true" outlineLevel="0" collapsed="false">
      <c r="B16" s="3"/>
      <c r="C16" s="3"/>
    </row>
    <row r="17" customFormat="false" ht="18" hidden="false" customHeight="true" outlineLevel="0" collapsed="false">
      <c r="B17" s="4" t="s">
        <v>22</v>
      </c>
      <c r="C17" s="5"/>
    </row>
    <row r="18" customFormat="false" ht="18" hidden="false" customHeight="true" outlineLevel="0" collapsed="false">
      <c r="B18" s="6" t="s">
        <v>23</v>
      </c>
      <c r="C18" s="6" t="s">
        <v>24</v>
      </c>
    </row>
    <row r="19" customFormat="false" ht="18" hidden="false" customHeight="true" outlineLevel="0" collapsed="false">
      <c r="B19" s="6" t="s">
        <v>25</v>
      </c>
      <c r="C19" s="6" t="s">
        <v>26</v>
      </c>
    </row>
    <row r="20" customFormat="false" ht="18" hidden="false" customHeight="true" outlineLevel="0" collapsed="false">
      <c r="B20" s="6" t="s">
        <v>27</v>
      </c>
      <c r="C20" s="6" t="s">
        <v>28</v>
      </c>
    </row>
    <row r="21" customFormat="false" ht="18" hidden="false" customHeight="true" outlineLevel="0" collapsed="false">
      <c r="B21" s="6" t="s">
        <v>29</v>
      </c>
      <c r="C21" s="6" t="s">
        <v>30</v>
      </c>
    </row>
    <row r="22" customFormat="false" ht="18" hidden="false" customHeight="true" outlineLevel="0" collapsed="false">
      <c r="B22" s="6" t="s">
        <v>31</v>
      </c>
      <c r="C22" s="6" t="s">
        <v>32</v>
      </c>
    </row>
  </sheetData>
  <mergeCells count="2">
    <mergeCell ref="B1:C1"/>
    <mergeCell ref="B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2"/>
    <col collapsed="false" customWidth="true" hidden="false" outlineLevel="0" max="3" min="3" style="0" width="18"/>
    <col collapsed="false" customWidth="true" hidden="false" outlineLevel="0" max="6" min="4" style="0" width="14"/>
    <col collapsed="false" customWidth="true" hidden="false" outlineLevel="0" max="7" min="7" style="0" width="40"/>
  </cols>
  <sheetData>
    <row r="1" customFormat="false" ht="31.5" hidden="false" customHeight="true" outlineLevel="0" collapsed="false">
      <c r="B1" s="10" t="s">
        <v>33</v>
      </c>
      <c r="C1" s="10"/>
      <c r="D1" s="10"/>
      <c r="E1" s="10"/>
      <c r="F1" s="10"/>
      <c r="G1" s="10"/>
    </row>
    <row r="2" customFormat="false" ht="19.5" hidden="false" customHeight="true" outlineLevel="0" collapsed="false">
      <c r="B2" s="11" t="s">
        <v>34</v>
      </c>
      <c r="C2" s="11" t="s">
        <v>35</v>
      </c>
      <c r="D2" s="11" t="s">
        <v>36</v>
      </c>
      <c r="E2" s="11" t="s">
        <v>37</v>
      </c>
      <c r="F2" s="11" t="s">
        <v>38</v>
      </c>
      <c r="G2" s="11" t="s">
        <v>39</v>
      </c>
    </row>
    <row r="3" customFormat="false" ht="18" hidden="false" customHeight="true" outlineLevel="0" collapsed="false">
      <c r="B3" s="12" t="s">
        <v>40</v>
      </c>
      <c r="C3" s="12"/>
      <c r="D3" s="12"/>
      <c r="E3" s="12"/>
      <c r="F3" s="12"/>
      <c r="G3" s="12"/>
    </row>
    <row r="4" customFormat="false" ht="18" hidden="false" customHeight="true" outlineLevel="0" collapsed="false">
      <c r="B4" s="13" t="s">
        <v>41</v>
      </c>
      <c r="C4" s="14" t="n">
        <v>50</v>
      </c>
      <c r="D4" s="15" t="n">
        <v>1000</v>
      </c>
      <c r="E4" s="15" t="n">
        <v>5000</v>
      </c>
      <c r="F4" s="13"/>
      <c r="G4" s="16" t="s">
        <v>42</v>
      </c>
    </row>
    <row r="5" customFormat="false" ht="18" hidden="false" customHeight="true" outlineLevel="0" collapsed="false">
      <c r="B5" s="13" t="s">
        <v>43</v>
      </c>
      <c r="C5" s="17" t="n">
        <v>5</v>
      </c>
      <c r="D5" s="18" t="n">
        <v>8</v>
      </c>
      <c r="E5" s="18" t="n">
        <v>10</v>
      </c>
      <c r="F5" s="13"/>
      <c r="G5" s="16" t="s">
        <v>44</v>
      </c>
    </row>
    <row r="6" customFormat="false" ht="18" hidden="false" customHeight="true" outlineLevel="0" collapsed="false">
      <c r="B6" s="13" t="s">
        <v>45</v>
      </c>
      <c r="C6" s="19" t="n">
        <v>0.05</v>
      </c>
      <c r="D6" s="20" t="n">
        <v>0.08</v>
      </c>
      <c r="E6" s="20" t="n">
        <v>0.12</v>
      </c>
      <c r="F6" s="13"/>
      <c r="G6" s="16" t="s">
        <v>46</v>
      </c>
    </row>
    <row r="7" customFormat="false" ht="18" hidden="false" customHeight="true" outlineLevel="0" collapsed="false">
      <c r="B7" s="13" t="s">
        <v>47</v>
      </c>
      <c r="C7" s="14" t="n">
        <v>499</v>
      </c>
      <c r="D7" s="15" t="n">
        <v>499</v>
      </c>
      <c r="E7" s="15" t="n">
        <v>499</v>
      </c>
      <c r="F7" s="13"/>
      <c r="G7" s="16" t="s">
        <v>48</v>
      </c>
    </row>
    <row r="8" customFormat="false" ht="18" hidden="false" customHeight="true" outlineLevel="0" collapsed="false">
      <c r="B8" s="12" t="s">
        <v>49</v>
      </c>
      <c r="C8" s="12"/>
      <c r="D8" s="12"/>
      <c r="E8" s="12"/>
      <c r="F8" s="12"/>
      <c r="G8" s="12"/>
    </row>
    <row r="9" customFormat="false" ht="18" hidden="false" customHeight="true" outlineLevel="0" collapsed="false">
      <c r="B9" s="13" t="s">
        <v>50</v>
      </c>
      <c r="C9" s="21" t="n">
        <v>0.65</v>
      </c>
      <c r="D9" s="22" t="n">
        <v>0.7</v>
      </c>
      <c r="E9" s="22" t="n">
        <v>0.75</v>
      </c>
      <c r="F9" s="13"/>
      <c r="G9" s="16" t="s">
        <v>51</v>
      </c>
    </row>
    <row r="10" customFormat="false" ht="18" hidden="false" customHeight="true" outlineLevel="0" collapsed="false">
      <c r="B10" s="13" t="s">
        <v>52</v>
      </c>
      <c r="C10" s="21" t="n">
        <v>0</v>
      </c>
      <c r="D10" s="22" t="n">
        <v>0</v>
      </c>
      <c r="E10" s="22" t="n">
        <v>0.5</v>
      </c>
      <c r="F10" s="13"/>
      <c r="G10" s="16" t="s">
        <v>53</v>
      </c>
    </row>
    <row r="11" customFormat="false" ht="18" hidden="false" customHeight="true" outlineLevel="0" collapsed="false">
      <c r="B11" s="13" t="s">
        <v>54</v>
      </c>
      <c r="C11" s="17" t="n">
        <v>0.6</v>
      </c>
      <c r="D11" s="18" t="n">
        <v>0.7</v>
      </c>
      <c r="E11" s="18" t="n">
        <v>0.7</v>
      </c>
      <c r="F11" s="13"/>
      <c r="G11" s="16" t="s">
        <v>55</v>
      </c>
    </row>
    <row r="12" customFormat="false" ht="18" hidden="false" customHeight="true" outlineLevel="0" collapsed="false">
      <c r="B12" s="12" t="s">
        <v>56</v>
      </c>
      <c r="C12" s="12"/>
      <c r="D12" s="12"/>
      <c r="E12" s="12"/>
      <c r="F12" s="12"/>
      <c r="G12" s="12"/>
    </row>
    <row r="13" customFormat="false" ht="18" hidden="false" customHeight="true" outlineLevel="0" collapsed="false">
      <c r="B13" s="13" t="s">
        <v>57</v>
      </c>
      <c r="C13" s="14" t="n">
        <v>90</v>
      </c>
      <c r="D13" s="15" t="n">
        <v>90</v>
      </c>
      <c r="E13" s="15" t="n">
        <v>90</v>
      </c>
      <c r="F13" s="13"/>
      <c r="G13" s="16" t="s">
        <v>58</v>
      </c>
    </row>
    <row r="14" customFormat="false" ht="18" hidden="false" customHeight="true" outlineLevel="0" collapsed="false">
      <c r="B14" s="13" t="s">
        <v>59</v>
      </c>
      <c r="C14" s="14" t="n">
        <v>1</v>
      </c>
      <c r="D14" s="15" t="n">
        <v>1</v>
      </c>
      <c r="E14" s="15" t="n">
        <v>1</v>
      </c>
      <c r="F14" s="13"/>
      <c r="G14" s="16" t="s">
        <v>60</v>
      </c>
    </row>
    <row r="15" customFormat="false" ht="18" hidden="false" customHeight="true" outlineLevel="0" collapsed="false">
      <c r="B15" s="12" t="s">
        <v>61</v>
      </c>
      <c r="C15" s="12"/>
      <c r="D15" s="12"/>
      <c r="E15" s="12"/>
      <c r="F15" s="12"/>
      <c r="G15" s="12"/>
    </row>
    <row r="16" customFormat="false" ht="18" hidden="false" customHeight="true" outlineLevel="0" collapsed="false">
      <c r="B16" s="13" t="s">
        <v>62</v>
      </c>
      <c r="C16" s="14" t="n">
        <v>1</v>
      </c>
      <c r="D16" s="15" t="n">
        <v>2</v>
      </c>
      <c r="E16" s="15" t="n">
        <v>3</v>
      </c>
      <c r="F16" s="13"/>
      <c r="G16" s="16" t="s">
        <v>63</v>
      </c>
    </row>
    <row r="17" customFormat="false" ht="18" hidden="false" customHeight="true" outlineLevel="0" collapsed="false">
      <c r="B17" s="13" t="s">
        <v>64</v>
      </c>
      <c r="C17" s="14" t="n">
        <v>1800</v>
      </c>
      <c r="D17" s="15" t="n">
        <v>1800</v>
      </c>
      <c r="E17" s="15" t="n">
        <v>1800</v>
      </c>
      <c r="F17" s="13"/>
      <c r="G17" s="16" t="s">
        <v>65</v>
      </c>
    </row>
    <row r="18" customFormat="false" ht="18" hidden="false" customHeight="true" outlineLevel="0" collapsed="false">
      <c r="B18" s="13" t="s">
        <v>66</v>
      </c>
      <c r="C18" s="14" t="n">
        <v>1</v>
      </c>
      <c r="D18" s="15" t="n">
        <v>2</v>
      </c>
      <c r="E18" s="15" t="n">
        <v>4</v>
      </c>
      <c r="F18" s="13"/>
      <c r="G18" s="16" t="s">
        <v>67</v>
      </c>
    </row>
    <row r="19" customFormat="false" ht="18" hidden="false" customHeight="true" outlineLevel="0" collapsed="false">
      <c r="B19" s="13" t="s">
        <v>68</v>
      </c>
      <c r="C19" s="14" t="n">
        <v>3200</v>
      </c>
      <c r="D19" s="15" t="n">
        <v>3200</v>
      </c>
      <c r="E19" s="15" t="n">
        <v>3200</v>
      </c>
      <c r="F19" s="13"/>
      <c r="G19" s="16" t="s">
        <v>69</v>
      </c>
    </row>
    <row r="20" customFormat="false" ht="18" hidden="false" customHeight="true" outlineLevel="0" collapsed="false">
      <c r="B20" s="13" t="s">
        <v>70</v>
      </c>
      <c r="C20" s="14" t="n">
        <v>0</v>
      </c>
      <c r="D20" s="15" t="n">
        <v>650</v>
      </c>
      <c r="E20" s="15" t="n">
        <v>650</v>
      </c>
      <c r="F20" s="13"/>
      <c r="G20" s="16" t="s">
        <v>71</v>
      </c>
    </row>
    <row r="21" customFormat="false" ht="18" hidden="false" customHeight="true" outlineLevel="0" collapsed="false">
      <c r="B21" s="12" t="s">
        <v>72</v>
      </c>
      <c r="C21" s="12"/>
      <c r="D21" s="12"/>
      <c r="E21" s="12"/>
      <c r="F21" s="12"/>
      <c r="G21" s="12"/>
    </row>
    <row r="22" customFormat="false" ht="18" hidden="false" customHeight="true" outlineLevel="0" collapsed="false">
      <c r="B22" s="13" t="s">
        <v>73</v>
      </c>
      <c r="C22" s="14" t="n">
        <v>2500</v>
      </c>
      <c r="D22" s="15" t="n">
        <v>5500</v>
      </c>
      <c r="E22" s="15" t="n">
        <v>9500</v>
      </c>
      <c r="F22" s="13"/>
      <c r="G22" s="16" t="s">
        <v>74</v>
      </c>
    </row>
    <row r="23" customFormat="false" ht="18" hidden="false" customHeight="true" outlineLevel="0" collapsed="false">
      <c r="B23" s="13" t="s">
        <v>75</v>
      </c>
      <c r="C23" s="14" t="n">
        <v>100</v>
      </c>
      <c r="D23" s="15" t="n">
        <v>200</v>
      </c>
      <c r="E23" s="15" t="n">
        <v>400</v>
      </c>
      <c r="F23" s="13"/>
      <c r="G23" s="16" t="s">
        <v>76</v>
      </c>
    </row>
    <row r="24" customFormat="false" ht="18" hidden="false" customHeight="true" outlineLevel="0" collapsed="false">
      <c r="B24" s="12" t="s">
        <v>77</v>
      </c>
      <c r="C24" s="12"/>
      <c r="D24" s="12"/>
      <c r="E24" s="12"/>
      <c r="F24" s="12"/>
      <c r="G24" s="12"/>
    </row>
    <row r="25" customFormat="false" ht="18" hidden="false" customHeight="true" outlineLevel="0" collapsed="false">
      <c r="B25" s="13" t="s">
        <v>78</v>
      </c>
      <c r="C25" s="14" t="n">
        <v>1200</v>
      </c>
      <c r="D25" s="15" t="n">
        <v>2400</v>
      </c>
      <c r="E25" s="15" t="n">
        <v>4200</v>
      </c>
      <c r="F25" s="13"/>
      <c r="G25" s="16" t="s">
        <v>79</v>
      </c>
    </row>
    <row r="26" customFormat="false" ht="18" hidden="false" customHeight="true" outlineLevel="0" collapsed="false">
      <c r="B26" s="12" t="s">
        <v>80</v>
      </c>
      <c r="C26" s="12"/>
      <c r="D26" s="12"/>
      <c r="E26" s="12"/>
      <c r="F26" s="12"/>
      <c r="G26" s="12"/>
    </row>
    <row r="27" customFormat="false" ht="18" hidden="false" customHeight="true" outlineLevel="0" collapsed="false">
      <c r="B27" s="13" t="s">
        <v>81</v>
      </c>
      <c r="C27" s="14" t="n">
        <v>5</v>
      </c>
      <c r="D27" s="15" t="n">
        <v>40</v>
      </c>
      <c r="E27" s="15" t="n">
        <v>180</v>
      </c>
      <c r="F27" s="13"/>
      <c r="G27" s="16" t="s">
        <v>82</v>
      </c>
    </row>
    <row r="28" customFormat="false" ht="18" hidden="false" customHeight="true" outlineLevel="0" collapsed="false">
      <c r="B28" s="13" t="s">
        <v>83</v>
      </c>
      <c r="C28" s="14" t="n">
        <v>3</v>
      </c>
      <c r="D28" s="15" t="n">
        <v>25</v>
      </c>
      <c r="E28" s="15" t="n">
        <v>110</v>
      </c>
      <c r="F28" s="13"/>
      <c r="G28" s="16" t="s">
        <v>84</v>
      </c>
    </row>
    <row r="29" customFormat="false" ht="18" hidden="false" customHeight="true" outlineLevel="0" collapsed="false">
      <c r="B29" s="13" t="s">
        <v>85</v>
      </c>
      <c r="C29" s="23" t="n">
        <v>0.68</v>
      </c>
      <c r="D29" s="24" t="n">
        <v>0.68</v>
      </c>
      <c r="E29" s="24" t="n">
        <v>0.68</v>
      </c>
      <c r="F29" s="13"/>
      <c r="G29" s="16" t="s">
        <v>86</v>
      </c>
    </row>
    <row r="30" customFormat="false" ht="18" hidden="false" customHeight="true" outlineLevel="0" collapsed="false">
      <c r="B30" s="13" t="s">
        <v>87</v>
      </c>
      <c r="C30" s="14" t="n">
        <v>10</v>
      </c>
      <c r="D30" s="15" t="n">
        <v>80</v>
      </c>
      <c r="E30" s="15" t="n">
        <v>350</v>
      </c>
      <c r="F30" s="13"/>
      <c r="G30" s="16" t="s">
        <v>88</v>
      </c>
    </row>
    <row r="31" customFormat="false" ht="18" hidden="false" customHeight="true" outlineLevel="0" collapsed="false">
      <c r="B31" s="13" t="s">
        <v>89</v>
      </c>
      <c r="C31" s="23" t="n">
        <v>1.53</v>
      </c>
      <c r="D31" s="24" t="n">
        <v>1.53</v>
      </c>
      <c r="E31" s="24" t="n">
        <v>1.53</v>
      </c>
      <c r="F31" s="13"/>
      <c r="G31" s="16" t="s">
        <v>90</v>
      </c>
    </row>
    <row r="32" customFormat="false" ht="18" hidden="false" customHeight="true" outlineLevel="0" collapsed="false">
      <c r="B32" s="12" t="s">
        <v>91</v>
      </c>
      <c r="C32" s="12"/>
      <c r="D32" s="12"/>
      <c r="E32" s="12"/>
      <c r="F32" s="12"/>
      <c r="G32" s="12"/>
    </row>
    <row r="33" customFormat="false" ht="18" hidden="false" customHeight="true" outlineLevel="0" collapsed="false">
      <c r="B33" s="13" t="s">
        <v>92</v>
      </c>
      <c r="C33" s="23" t="n">
        <v>1.5</v>
      </c>
      <c r="D33" s="24" t="n">
        <v>1.5</v>
      </c>
      <c r="E33" s="24" t="n">
        <v>1.5</v>
      </c>
      <c r="F33" s="13"/>
      <c r="G33" s="16" t="s">
        <v>93</v>
      </c>
    </row>
    <row r="34" customFormat="false" ht="18" hidden="false" customHeight="true" outlineLevel="0" collapsed="false">
      <c r="B34" s="13" t="s">
        <v>94</v>
      </c>
      <c r="C34" s="14" t="n">
        <v>1000</v>
      </c>
      <c r="D34" s="15" t="n">
        <v>1000</v>
      </c>
      <c r="E34" s="15" t="n">
        <v>1000</v>
      </c>
      <c r="F34" s="13"/>
      <c r="G34" s="16" t="s">
        <v>95</v>
      </c>
    </row>
    <row r="35" customFormat="false" ht="18" hidden="false" customHeight="true" outlineLevel="0" collapsed="false">
      <c r="B35" s="12" t="s">
        <v>96</v>
      </c>
      <c r="C35" s="12"/>
      <c r="D35" s="12"/>
      <c r="E35" s="12"/>
      <c r="F35" s="12"/>
      <c r="G35" s="12"/>
    </row>
    <row r="36" customFormat="false" ht="18" hidden="false" customHeight="true" outlineLevel="0" collapsed="false">
      <c r="B36" s="13" t="s">
        <v>97</v>
      </c>
      <c r="C36" s="14" t="n">
        <v>0</v>
      </c>
      <c r="D36" s="15" t="n">
        <v>0</v>
      </c>
      <c r="E36" s="15" t="n">
        <v>2160</v>
      </c>
      <c r="F36" s="13"/>
      <c r="G36" s="16" t="s">
        <v>98</v>
      </c>
    </row>
    <row r="37" customFormat="false" ht="18" hidden="false" customHeight="true" outlineLevel="0" collapsed="false">
      <c r="B37" s="13" t="s">
        <v>99</v>
      </c>
      <c r="C37" s="14" t="n">
        <v>100</v>
      </c>
      <c r="D37" s="15" t="n">
        <v>100</v>
      </c>
      <c r="E37" s="15" t="n">
        <v>100</v>
      </c>
      <c r="F37" s="13"/>
      <c r="G37" s="16" t="s">
        <v>100</v>
      </c>
    </row>
    <row r="38" customFormat="false" ht="18" hidden="false" customHeight="true" outlineLevel="0" collapsed="false">
      <c r="B38" s="13" t="s">
        <v>101</v>
      </c>
      <c r="C38" s="14" t="n">
        <v>500</v>
      </c>
      <c r="D38" s="15" t="n">
        <v>1000</v>
      </c>
      <c r="E38" s="15" t="n">
        <v>3000</v>
      </c>
      <c r="F38" s="13"/>
      <c r="G38" s="16" t="s">
        <v>102</v>
      </c>
    </row>
  </sheetData>
  <mergeCells count="1">
    <mergeCell ref="B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6"/>
    <col collapsed="false" customWidth="true" hidden="false" outlineLevel="0" max="4" min="3" style="0" width="22"/>
    <col collapsed="false" customWidth="true" hidden="false" outlineLevel="0" max="5" min="5" style="0" width="40"/>
  </cols>
  <sheetData>
    <row r="1" customFormat="false" ht="31.5" hidden="false" customHeight="true" outlineLevel="0" collapsed="false">
      <c r="B1" s="10" t="s">
        <v>103</v>
      </c>
      <c r="C1" s="10"/>
      <c r="D1" s="10"/>
      <c r="E1" s="10"/>
    </row>
    <row r="2" customFormat="false" ht="19.5" hidden="false" customHeight="true" outlineLevel="0" collapsed="false">
      <c r="B2" s="2" t="s">
        <v>104</v>
      </c>
      <c r="C2" s="2"/>
      <c r="D2" s="2"/>
      <c r="E2" s="2"/>
    </row>
    <row r="3" customFormat="false" ht="19.5" hidden="false" customHeight="true" outlineLevel="0" collapsed="false">
      <c r="B3" s="11" t="s">
        <v>105</v>
      </c>
      <c r="C3" s="11" t="s">
        <v>106</v>
      </c>
      <c r="D3" s="11" t="s">
        <v>107</v>
      </c>
      <c r="E3" s="11" t="s">
        <v>108</v>
      </c>
    </row>
    <row r="4" customFormat="false" ht="18" hidden="false" customHeight="true" outlineLevel="0" collapsed="false">
      <c r="B4" s="25" t="s">
        <v>109</v>
      </c>
      <c r="C4" s="25"/>
      <c r="D4" s="25"/>
      <c r="E4" s="25"/>
    </row>
    <row r="5" customFormat="false" ht="18" hidden="false" customHeight="true" outlineLevel="0" collapsed="false">
      <c r="B5" s="26" t="s">
        <v>110</v>
      </c>
      <c r="C5" s="27" t="n">
        <f aca="false">'⚙️ Допущения'!C16*'⚙️ Допущения'!C17</f>
        <v>1800</v>
      </c>
      <c r="D5" s="27" t="n">
        <f aca="false">C5*12</f>
        <v>21600</v>
      </c>
      <c r="E5" s="28" t="s">
        <v>111</v>
      </c>
    </row>
    <row r="6" customFormat="false" ht="18" hidden="false" customHeight="true" outlineLevel="0" collapsed="false">
      <c r="B6" s="29" t="s">
        <v>112</v>
      </c>
      <c r="C6" s="30" t="n">
        <f aca="false">'⚙️ Допущения'!C18*'⚙️ Допущения'!C19</f>
        <v>3200</v>
      </c>
      <c r="D6" s="30" t="n">
        <f aca="false">C6*12</f>
        <v>38400</v>
      </c>
      <c r="E6" s="28" t="s">
        <v>113</v>
      </c>
    </row>
    <row r="7" customFormat="false" ht="18" hidden="false" customHeight="true" outlineLevel="0" collapsed="false">
      <c r="B7" s="26" t="s">
        <v>114</v>
      </c>
      <c r="C7" s="27" t="n">
        <f aca="false">'⚙️ Допущения'!C20</f>
        <v>0</v>
      </c>
      <c r="D7" s="27" t="n">
        <f aca="false">C7*12</f>
        <v>0</v>
      </c>
      <c r="E7" s="28" t="s">
        <v>115</v>
      </c>
    </row>
    <row r="8" customFormat="false" ht="21.75" hidden="false" customHeight="true" outlineLevel="0" collapsed="false">
      <c r="B8" s="31" t="s">
        <v>116</v>
      </c>
      <c r="C8" s="32" t="n">
        <f aca="false">SUM(C5:C7)</f>
        <v>5000</v>
      </c>
      <c r="D8" s="32" t="n">
        <f aca="false">C8*12</f>
        <v>60000</v>
      </c>
      <c r="E8" s="33"/>
    </row>
    <row r="9" customFormat="false" ht="18" hidden="false" customHeight="true" outlineLevel="0" collapsed="false">
      <c r="B9" s="25" t="s">
        <v>117</v>
      </c>
      <c r="C9" s="25"/>
      <c r="D9" s="25"/>
      <c r="E9" s="25"/>
    </row>
    <row r="10" customFormat="false" ht="18" hidden="false" customHeight="true" outlineLevel="0" collapsed="false">
      <c r="B10" s="26" t="s">
        <v>118</v>
      </c>
      <c r="C10" s="27" t="n">
        <f aca="false">'⚙️ Допущения'!C22</f>
        <v>2500</v>
      </c>
      <c r="D10" s="27" t="n">
        <f aca="false">C10*12</f>
        <v>30000</v>
      </c>
      <c r="E10" s="28" t="s">
        <v>119</v>
      </c>
    </row>
    <row r="11" customFormat="false" ht="18" hidden="false" customHeight="true" outlineLevel="0" collapsed="false">
      <c r="B11" s="29" t="s">
        <v>120</v>
      </c>
      <c r="C11" s="30" t="n">
        <f aca="false">'⚙️ Допущения'!C23</f>
        <v>100</v>
      </c>
      <c r="D11" s="30" t="n">
        <f aca="false">C11*12</f>
        <v>1200</v>
      </c>
      <c r="E11" s="28" t="s">
        <v>121</v>
      </c>
    </row>
    <row r="12" customFormat="false" ht="18" hidden="false" customHeight="true" outlineLevel="0" collapsed="false">
      <c r="B12" s="26" t="s">
        <v>122</v>
      </c>
      <c r="C12" s="27" t="n">
        <f aca="false">'⚙️ Допущения'!C25</f>
        <v>1200</v>
      </c>
      <c r="D12" s="27" t="n">
        <f aca="false">C12*12</f>
        <v>14400</v>
      </c>
      <c r="E12" s="28" t="s">
        <v>123</v>
      </c>
    </row>
    <row r="13" customFormat="false" ht="21.75" hidden="false" customHeight="true" outlineLevel="0" collapsed="false">
      <c r="B13" s="31" t="s">
        <v>124</v>
      </c>
      <c r="C13" s="32" t="n">
        <f aca="false">SUM(C10:C12)</f>
        <v>3800</v>
      </c>
      <c r="D13" s="32" t="n">
        <f aca="false">C13*12</f>
        <v>45600</v>
      </c>
      <c r="E13" s="33"/>
    </row>
    <row r="14" customFormat="false" ht="18" hidden="false" customHeight="true" outlineLevel="0" collapsed="false">
      <c r="B14" s="25" t="s">
        <v>125</v>
      </c>
      <c r="C14" s="25"/>
      <c r="D14" s="25"/>
      <c r="E14" s="25"/>
    </row>
    <row r="15" customFormat="false" ht="18" hidden="false" customHeight="true" outlineLevel="0" collapsed="false">
      <c r="B15" s="26" t="s">
        <v>126</v>
      </c>
      <c r="C15" s="27" t="n">
        <f aca="false">'⚙️ Допущения'!C27*'⚙️ Допущения'!C29</f>
        <v>3.4</v>
      </c>
      <c r="D15" s="27" t="n">
        <f aca="false">C15*12</f>
        <v>40.8</v>
      </c>
      <c r="E15" s="28" t="s">
        <v>127</v>
      </c>
    </row>
    <row r="16" customFormat="false" ht="18" hidden="false" customHeight="true" outlineLevel="0" collapsed="false">
      <c r="B16" s="29" t="s">
        <v>128</v>
      </c>
      <c r="C16" s="30" t="n">
        <f aca="false">'⚙️ Допущения'!C28*'⚙️ Допущения'!C29</f>
        <v>2.04</v>
      </c>
      <c r="D16" s="30" t="n">
        <f aca="false">C16*12</f>
        <v>24.48</v>
      </c>
      <c r="E16" s="28" t="s">
        <v>127</v>
      </c>
    </row>
    <row r="17" customFormat="false" ht="18" hidden="false" customHeight="true" outlineLevel="0" collapsed="false">
      <c r="B17" s="26" t="s">
        <v>129</v>
      </c>
      <c r="C17" s="27" t="n">
        <f aca="false">'⚙️ Допущения'!C30*'⚙️ Допущения'!C31</f>
        <v>15.3</v>
      </c>
      <c r="D17" s="27" t="n">
        <f aca="false">C17*12</f>
        <v>183.6</v>
      </c>
      <c r="E17" s="28" t="s">
        <v>130</v>
      </c>
    </row>
    <row r="18" customFormat="false" ht="21.75" hidden="false" customHeight="true" outlineLevel="0" collapsed="false">
      <c r="B18" s="31" t="s">
        <v>131</v>
      </c>
      <c r="C18" s="32" t="n">
        <f aca="false">SUM(C15:C17)</f>
        <v>20.74</v>
      </c>
      <c r="D18" s="32" t="n">
        <f aca="false">C18*12</f>
        <v>248.88</v>
      </c>
      <c r="E18" s="33"/>
    </row>
    <row r="19" customFormat="false" ht="18" hidden="false" customHeight="true" outlineLevel="0" collapsed="false">
      <c r="B19" s="25" t="s">
        <v>132</v>
      </c>
      <c r="C19" s="25"/>
      <c r="D19" s="25"/>
      <c r="E19" s="25"/>
    </row>
    <row r="20" customFormat="false" ht="18" hidden="false" customHeight="true" outlineLevel="0" collapsed="false">
      <c r="B20" s="26" t="s">
        <v>133</v>
      </c>
      <c r="C20" s="27" t="n">
        <f aca="false">0</f>
        <v>0</v>
      </c>
      <c r="D20" s="27" t="n">
        <f aca="false">C20*12</f>
        <v>0</v>
      </c>
      <c r="E20" s="28" t="s">
        <v>134</v>
      </c>
    </row>
    <row r="21" customFormat="false" ht="18" hidden="false" customHeight="true" outlineLevel="0" collapsed="false">
      <c r="B21" s="29" t="s">
        <v>135</v>
      </c>
      <c r="C21" s="30" t="n">
        <f aca="false">0</f>
        <v>0</v>
      </c>
      <c r="D21" s="30" t="n">
        <f aca="false">C21*12</f>
        <v>0</v>
      </c>
      <c r="E21" s="28" t="s">
        <v>136</v>
      </c>
    </row>
    <row r="22" customFormat="false" ht="18" hidden="false" customHeight="true" outlineLevel="0" collapsed="false">
      <c r="B22" s="26" t="s">
        <v>137</v>
      </c>
      <c r="C22" s="27" t="n">
        <f aca="false">MAX(0, ('⚙️ Допущения'!C4 * '⚙️ Допущения'!C5 * '⚙️ Допущения'!C10 - '⚙️ Допущения'!C34/1000) * '⚙️ Допущения'!C33 * '⚙️ Допущения'!C13 / 1)</f>
        <v>0</v>
      </c>
      <c r="D22" s="27" t="n">
        <f aca="false">C22*12</f>
        <v>0</v>
      </c>
      <c r="E22" s="28" t="s">
        <v>138</v>
      </c>
    </row>
    <row r="23" customFormat="false" ht="21.75" hidden="false" customHeight="true" outlineLevel="0" collapsed="false">
      <c r="B23" s="31" t="s">
        <v>139</v>
      </c>
      <c r="C23" s="32" t="n">
        <f aca="false">SUM(C20:C22)</f>
        <v>0</v>
      </c>
      <c r="D23" s="32" t="n">
        <f aca="false">C23*12</f>
        <v>0</v>
      </c>
      <c r="E23" s="33"/>
    </row>
    <row r="24" customFormat="false" ht="18" hidden="false" customHeight="true" outlineLevel="0" collapsed="false">
      <c r="B24" s="25" t="s">
        <v>140</v>
      </c>
      <c r="C24" s="25"/>
      <c r="D24" s="25"/>
      <c r="E24" s="25"/>
    </row>
    <row r="25" customFormat="false" ht="18" hidden="false" customHeight="true" outlineLevel="0" collapsed="false">
      <c r="B25" s="26" t="s">
        <v>141</v>
      </c>
      <c r="C25" s="27" t="n">
        <f aca="false">'⚙️ Допущения'!C36</f>
        <v>0</v>
      </c>
      <c r="D25" s="27" t="n">
        <f aca="false">C25*12</f>
        <v>0</v>
      </c>
      <c r="E25" s="28" t="s">
        <v>142</v>
      </c>
    </row>
    <row r="26" customFormat="false" ht="18" hidden="false" customHeight="true" outlineLevel="0" collapsed="false">
      <c r="B26" s="29" t="s">
        <v>143</v>
      </c>
      <c r="C26" s="30" t="n">
        <f aca="false">'⚙️ Допущения'!C37</f>
        <v>100</v>
      </c>
      <c r="D26" s="30" t="n">
        <f aca="false">C26*12</f>
        <v>1200</v>
      </c>
      <c r="E26" s="28" t="s">
        <v>100</v>
      </c>
    </row>
    <row r="27" customFormat="false" ht="18" hidden="false" customHeight="true" outlineLevel="0" collapsed="false">
      <c r="B27" s="26" t="s">
        <v>144</v>
      </c>
      <c r="C27" s="27" t="n">
        <f aca="false">'⚙️ Допущения'!C38</f>
        <v>500</v>
      </c>
      <c r="D27" s="27" t="n">
        <f aca="false">C27*12</f>
        <v>6000</v>
      </c>
      <c r="E27" s="28" t="s">
        <v>145</v>
      </c>
    </row>
    <row r="28" customFormat="false" ht="21.75" hidden="false" customHeight="true" outlineLevel="0" collapsed="false">
      <c r="B28" s="31" t="s">
        <v>146</v>
      </c>
      <c r="C28" s="32" t="n">
        <f aca="false">SUM(C25:C27)</f>
        <v>600</v>
      </c>
      <c r="D28" s="32" t="n">
        <f aca="false">C28*12</f>
        <v>7200</v>
      </c>
      <c r="E28" s="33"/>
    </row>
    <row r="29" customFormat="false" ht="7.5" hidden="false" customHeight="true" outlineLevel="0" collapsed="false">
      <c r="B29" s="34"/>
      <c r="C29" s="34"/>
      <c r="D29" s="34"/>
      <c r="E29" s="34"/>
    </row>
    <row r="30" customFormat="false" ht="21.75" hidden="false" customHeight="true" outlineLevel="0" collapsed="false">
      <c r="B30" s="31" t="s">
        <v>147</v>
      </c>
      <c r="C30" s="32" t="n">
        <f aca="false">C8+C13+C18+C23+C28</f>
        <v>9420.74</v>
      </c>
      <c r="D30" s="32" t="n">
        <f aca="false">C30*12</f>
        <v>113048.88</v>
      </c>
      <c r="E30" s="33"/>
    </row>
    <row r="31" customFormat="false" ht="21.75" hidden="false" customHeight="true" outlineLevel="0" collapsed="false">
      <c r="B31" s="31" t="s">
        <v>148</v>
      </c>
      <c r="C31" s="32" t="n">
        <f aca="false">C30*12</f>
        <v>113048.88</v>
      </c>
      <c r="D31" s="32" t="n">
        <f aca="false">C31*12</f>
        <v>1356586.56</v>
      </c>
      <c r="E31" s="33"/>
    </row>
    <row r="32" customFormat="false" ht="7.5" hidden="false" customHeight="true" outlineLevel="0" collapsed="false">
      <c r="B32" s="34"/>
      <c r="C32" s="34"/>
      <c r="D32" s="34"/>
      <c r="E32" s="34"/>
    </row>
    <row r="33" customFormat="false" ht="18" hidden="false" customHeight="true" outlineLevel="0" collapsed="false">
      <c r="B33" s="25" t="s">
        <v>149</v>
      </c>
      <c r="C33" s="25"/>
      <c r="D33" s="25"/>
      <c r="E33" s="25"/>
    </row>
    <row r="34" customFormat="false" ht="18" hidden="false" customHeight="true" outlineLevel="0" collapsed="false">
      <c r="B34" s="26" t="s">
        <v>150</v>
      </c>
      <c r="C34" s="27" t="n">
        <f aca="false">'⚙️ Допущения'!C4</f>
        <v>50</v>
      </c>
      <c r="D34" s="27" t="n">
        <f aca="false">C34*12</f>
        <v>600</v>
      </c>
      <c r="E34" s="28" t="s">
        <v>151</v>
      </c>
    </row>
    <row r="35" customFormat="false" ht="18" hidden="false" customHeight="true" outlineLevel="0" collapsed="false">
      <c r="B35" s="29" t="s">
        <v>45</v>
      </c>
      <c r="C35" s="35" t="n">
        <f aca="false">'⚙️ Допущения'!C6</f>
        <v>0.05</v>
      </c>
      <c r="D35" s="35" t="n">
        <f aca="false">C35*12</f>
        <v>0.6</v>
      </c>
      <c r="E35" s="28"/>
    </row>
    <row r="36" customFormat="false" ht="18" hidden="false" customHeight="true" outlineLevel="0" collapsed="false">
      <c r="B36" s="26" t="s">
        <v>152</v>
      </c>
      <c r="C36" s="27" t="n">
        <f aca="false">ROUND(C34*C35, 0)</f>
        <v>3</v>
      </c>
      <c r="D36" s="27" t="n">
        <f aca="false">C36*12</f>
        <v>36</v>
      </c>
      <c r="E36" s="28" t="s">
        <v>153</v>
      </c>
    </row>
    <row r="37" customFormat="false" ht="18" hidden="false" customHeight="true" outlineLevel="0" collapsed="false">
      <c r="B37" s="29" t="s">
        <v>154</v>
      </c>
      <c r="C37" s="30" t="n">
        <f aca="false">ROUND(C36*'⚙️ Допущения'!C7/12, 0)</f>
        <v>125</v>
      </c>
      <c r="D37" s="30" t="n">
        <f aca="false">C37*12</f>
        <v>1500</v>
      </c>
      <c r="E37" s="28" t="s">
        <v>155</v>
      </c>
    </row>
    <row r="38" customFormat="false" ht="18" hidden="false" customHeight="true" outlineLevel="0" collapsed="false">
      <c r="B38" s="26" t="s">
        <v>156</v>
      </c>
      <c r="C38" s="27" t="n">
        <f aca="false">C30</f>
        <v>9420.74</v>
      </c>
      <c r="D38" s="27" t="n">
        <f aca="false">C38*12</f>
        <v>113048.88</v>
      </c>
      <c r="E38" s="28"/>
    </row>
    <row r="39" customFormat="false" ht="18" hidden="false" customHeight="true" outlineLevel="0" collapsed="false">
      <c r="B39" s="29" t="s">
        <v>157</v>
      </c>
      <c r="C39" s="36" t="n">
        <f aca="false">C37-C38</f>
        <v>-9295.74</v>
      </c>
      <c r="D39" s="30" t="n">
        <f aca="false">C39*12</f>
        <v>-111548.88</v>
      </c>
      <c r="E39" s="28" t="s">
        <v>158</v>
      </c>
    </row>
  </sheetData>
  <mergeCells count="8">
    <mergeCell ref="B1:E1"/>
    <mergeCell ref="B2:E2"/>
    <mergeCell ref="B4:E4"/>
    <mergeCell ref="B9:E9"/>
    <mergeCell ref="B14:E14"/>
    <mergeCell ref="B19:E19"/>
    <mergeCell ref="B24:E24"/>
    <mergeCell ref="B33:E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6"/>
    <col collapsed="false" customWidth="true" hidden="false" outlineLevel="0" max="4" min="3" style="0" width="22"/>
    <col collapsed="false" customWidth="true" hidden="false" outlineLevel="0" max="5" min="5" style="0" width="40"/>
  </cols>
  <sheetData>
    <row r="1" customFormat="false" ht="31.5" hidden="false" customHeight="true" outlineLevel="0" collapsed="false">
      <c r="B1" s="10" t="s">
        <v>159</v>
      </c>
      <c r="C1" s="10"/>
      <c r="D1" s="10"/>
      <c r="E1" s="10"/>
    </row>
    <row r="2" customFormat="false" ht="19.5" hidden="false" customHeight="true" outlineLevel="0" collapsed="false">
      <c r="B2" s="2" t="s">
        <v>104</v>
      </c>
      <c r="C2" s="2"/>
      <c r="D2" s="2"/>
      <c r="E2" s="2"/>
    </row>
    <row r="3" customFormat="false" ht="19.5" hidden="false" customHeight="true" outlineLevel="0" collapsed="false">
      <c r="B3" s="11" t="s">
        <v>105</v>
      </c>
      <c r="C3" s="11" t="s">
        <v>106</v>
      </c>
      <c r="D3" s="11" t="s">
        <v>107</v>
      </c>
      <c r="E3" s="11" t="s">
        <v>108</v>
      </c>
    </row>
    <row r="4" customFormat="false" ht="18" hidden="false" customHeight="true" outlineLevel="0" collapsed="false">
      <c r="B4" s="25" t="s">
        <v>109</v>
      </c>
      <c r="C4" s="25"/>
      <c r="D4" s="25"/>
      <c r="E4" s="25"/>
    </row>
    <row r="5" customFormat="false" ht="18" hidden="false" customHeight="true" outlineLevel="0" collapsed="false">
      <c r="B5" s="26" t="s">
        <v>110</v>
      </c>
      <c r="C5" s="27" t="n">
        <f aca="false">'⚙️ Допущения'!D16*'⚙️ Допущения'!D17</f>
        <v>3600</v>
      </c>
      <c r="D5" s="27" t="n">
        <f aca="false">C5*12</f>
        <v>43200</v>
      </c>
      <c r="E5" s="28" t="s">
        <v>111</v>
      </c>
    </row>
    <row r="6" customFormat="false" ht="18" hidden="false" customHeight="true" outlineLevel="0" collapsed="false">
      <c r="B6" s="29" t="s">
        <v>112</v>
      </c>
      <c r="C6" s="30" t="n">
        <f aca="false">'⚙️ Допущения'!D18*'⚙️ Допущения'!D19</f>
        <v>6400</v>
      </c>
      <c r="D6" s="30" t="n">
        <f aca="false">C6*12</f>
        <v>76800</v>
      </c>
      <c r="E6" s="28" t="s">
        <v>113</v>
      </c>
    </row>
    <row r="7" customFormat="false" ht="18" hidden="false" customHeight="true" outlineLevel="0" collapsed="false">
      <c r="B7" s="26" t="s">
        <v>114</v>
      </c>
      <c r="C7" s="27" t="n">
        <f aca="false">'⚙️ Допущения'!D20</f>
        <v>650</v>
      </c>
      <c r="D7" s="27" t="n">
        <f aca="false">C7*12</f>
        <v>7800</v>
      </c>
      <c r="E7" s="28" t="s">
        <v>115</v>
      </c>
    </row>
    <row r="8" customFormat="false" ht="21.75" hidden="false" customHeight="true" outlineLevel="0" collapsed="false">
      <c r="B8" s="31" t="s">
        <v>116</v>
      </c>
      <c r="C8" s="32" t="n">
        <f aca="false">SUM(C5:C7)</f>
        <v>10650</v>
      </c>
      <c r="D8" s="32" t="n">
        <f aca="false">C8*12</f>
        <v>127800</v>
      </c>
      <c r="E8" s="33"/>
    </row>
    <row r="9" customFormat="false" ht="18" hidden="false" customHeight="true" outlineLevel="0" collapsed="false">
      <c r="B9" s="25" t="s">
        <v>117</v>
      </c>
      <c r="C9" s="25"/>
      <c r="D9" s="25"/>
      <c r="E9" s="25"/>
    </row>
    <row r="10" customFormat="false" ht="18" hidden="false" customHeight="true" outlineLevel="0" collapsed="false">
      <c r="B10" s="26" t="s">
        <v>118</v>
      </c>
      <c r="C10" s="27" t="n">
        <f aca="false">'⚙️ Допущения'!D22</f>
        <v>5500</v>
      </c>
      <c r="D10" s="27" t="n">
        <f aca="false">C10*12</f>
        <v>66000</v>
      </c>
      <c r="E10" s="28" t="s">
        <v>119</v>
      </c>
    </row>
    <row r="11" customFormat="false" ht="18" hidden="false" customHeight="true" outlineLevel="0" collapsed="false">
      <c r="B11" s="29" t="s">
        <v>120</v>
      </c>
      <c r="C11" s="30" t="n">
        <f aca="false">'⚙️ Допущения'!D23</f>
        <v>200</v>
      </c>
      <c r="D11" s="30" t="n">
        <f aca="false">C11*12</f>
        <v>2400</v>
      </c>
      <c r="E11" s="28" t="s">
        <v>121</v>
      </c>
    </row>
    <row r="12" customFormat="false" ht="18" hidden="false" customHeight="true" outlineLevel="0" collapsed="false">
      <c r="B12" s="26" t="s">
        <v>122</v>
      </c>
      <c r="C12" s="27" t="n">
        <f aca="false">'⚙️ Допущения'!D25</f>
        <v>2400</v>
      </c>
      <c r="D12" s="27" t="n">
        <f aca="false">C12*12</f>
        <v>28800</v>
      </c>
      <c r="E12" s="28" t="s">
        <v>123</v>
      </c>
    </row>
    <row r="13" customFormat="false" ht="21.75" hidden="false" customHeight="true" outlineLevel="0" collapsed="false">
      <c r="B13" s="31" t="s">
        <v>124</v>
      </c>
      <c r="C13" s="32" t="n">
        <f aca="false">SUM(C10:C12)</f>
        <v>8100</v>
      </c>
      <c r="D13" s="32" t="n">
        <f aca="false">C13*12</f>
        <v>97200</v>
      </c>
      <c r="E13" s="33"/>
    </row>
    <row r="14" customFormat="false" ht="18" hidden="false" customHeight="true" outlineLevel="0" collapsed="false">
      <c r="B14" s="25" t="s">
        <v>125</v>
      </c>
      <c r="C14" s="25"/>
      <c r="D14" s="25"/>
      <c r="E14" s="25"/>
    </row>
    <row r="15" customFormat="false" ht="18" hidden="false" customHeight="true" outlineLevel="0" collapsed="false">
      <c r="B15" s="26" t="s">
        <v>126</v>
      </c>
      <c r="C15" s="27" t="n">
        <f aca="false">'⚙️ Допущения'!D27*'⚙️ Допущения'!D29</f>
        <v>27.2</v>
      </c>
      <c r="D15" s="27" t="n">
        <f aca="false">C15*12</f>
        <v>326.4</v>
      </c>
      <c r="E15" s="28" t="s">
        <v>127</v>
      </c>
    </row>
    <row r="16" customFormat="false" ht="18" hidden="false" customHeight="true" outlineLevel="0" collapsed="false">
      <c r="B16" s="29" t="s">
        <v>128</v>
      </c>
      <c r="C16" s="30" t="n">
        <f aca="false">'⚙️ Допущения'!D28*'⚙️ Допущения'!D29</f>
        <v>17</v>
      </c>
      <c r="D16" s="30" t="n">
        <f aca="false">C16*12</f>
        <v>204</v>
      </c>
      <c r="E16" s="28" t="s">
        <v>127</v>
      </c>
    </row>
    <row r="17" customFormat="false" ht="18" hidden="false" customHeight="true" outlineLevel="0" collapsed="false">
      <c r="B17" s="26" t="s">
        <v>129</v>
      </c>
      <c r="C17" s="27" t="n">
        <f aca="false">'⚙️ Допущения'!D30*'⚙️ Допущения'!D31</f>
        <v>122.4</v>
      </c>
      <c r="D17" s="27" t="n">
        <f aca="false">C17*12</f>
        <v>1468.8</v>
      </c>
      <c r="E17" s="28" t="s">
        <v>130</v>
      </c>
    </row>
    <row r="18" customFormat="false" ht="21.75" hidden="false" customHeight="true" outlineLevel="0" collapsed="false">
      <c r="B18" s="31" t="s">
        <v>131</v>
      </c>
      <c r="C18" s="32" t="n">
        <f aca="false">SUM(C15:C17)</f>
        <v>166.6</v>
      </c>
      <c r="D18" s="32" t="n">
        <f aca="false">C18*12</f>
        <v>1999.2</v>
      </c>
      <c r="E18" s="33"/>
    </row>
    <row r="19" customFormat="false" ht="18" hidden="false" customHeight="true" outlineLevel="0" collapsed="false">
      <c r="B19" s="25" t="s">
        <v>132</v>
      </c>
      <c r="C19" s="25"/>
      <c r="D19" s="25"/>
      <c r="E19" s="25"/>
    </row>
    <row r="20" customFormat="false" ht="18" hidden="false" customHeight="true" outlineLevel="0" collapsed="false">
      <c r="B20" s="26" t="s">
        <v>133</v>
      </c>
      <c r="C20" s="27" t="n">
        <f aca="false">0</f>
        <v>0</v>
      </c>
      <c r="D20" s="27" t="n">
        <f aca="false">C20*12</f>
        <v>0</v>
      </c>
      <c r="E20" s="28" t="s">
        <v>134</v>
      </c>
    </row>
    <row r="21" customFormat="false" ht="18" hidden="false" customHeight="true" outlineLevel="0" collapsed="false">
      <c r="B21" s="29" t="s">
        <v>135</v>
      </c>
      <c r="C21" s="30" t="n">
        <f aca="false">0</f>
        <v>0</v>
      </c>
      <c r="D21" s="30" t="n">
        <f aca="false">C21*12</f>
        <v>0</v>
      </c>
      <c r="E21" s="28" t="s">
        <v>136</v>
      </c>
    </row>
    <row r="22" customFormat="false" ht="18" hidden="false" customHeight="true" outlineLevel="0" collapsed="false">
      <c r="B22" s="26" t="s">
        <v>137</v>
      </c>
      <c r="C22" s="27" t="n">
        <f aca="false">MAX(0, ('⚙️ Допущения'!D4 * '⚙️ Допущения'!D5 * '⚙️ Допущения'!D10 - '⚙️ Допущения'!D34/1000) * '⚙️ Допущения'!D33 * '⚙️ Допущения'!D13 / 1)</f>
        <v>0</v>
      </c>
      <c r="D22" s="27" t="n">
        <f aca="false">C22*12</f>
        <v>0</v>
      </c>
      <c r="E22" s="28" t="s">
        <v>138</v>
      </c>
    </row>
    <row r="23" customFormat="false" ht="21.75" hidden="false" customHeight="true" outlineLevel="0" collapsed="false">
      <c r="B23" s="31" t="s">
        <v>139</v>
      </c>
      <c r="C23" s="32" t="n">
        <f aca="false">SUM(C20:C22)</f>
        <v>0</v>
      </c>
      <c r="D23" s="32" t="n">
        <f aca="false">C23*12</f>
        <v>0</v>
      </c>
      <c r="E23" s="33"/>
    </row>
    <row r="24" customFormat="false" ht="18" hidden="false" customHeight="true" outlineLevel="0" collapsed="false">
      <c r="B24" s="25" t="s">
        <v>140</v>
      </c>
      <c r="C24" s="25"/>
      <c r="D24" s="25"/>
      <c r="E24" s="25"/>
    </row>
    <row r="25" customFormat="false" ht="18" hidden="false" customHeight="true" outlineLevel="0" collapsed="false">
      <c r="B25" s="26" t="s">
        <v>141</v>
      </c>
      <c r="C25" s="27" t="n">
        <f aca="false">'⚙️ Допущения'!D36</f>
        <v>0</v>
      </c>
      <c r="D25" s="27" t="n">
        <f aca="false">C25*12</f>
        <v>0</v>
      </c>
      <c r="E25" s="28" t="s">
        <v>142</v>
      </c>
    </row>
    <row r="26" customFormat="false" ht="18" hidden="false" customHeight="true" outlineLevel="0" collapsed="false">
      <c r="B26" s="29" t="s">
        <v>143</v>
      </c>
      <c r="C26" s="30" t="n">
        <f aca="false">'⚙️ Допущения'!D37</f>
        <v>100</v>
      </c>
      <c r="D26" s="30" t="n">
        <f aca="false">C26*12</f>
        <v>1200</v>
      </c>
      <c r="E26" s="28" t="s">
        <v>100</v>
      </c>
    </row>
    <row r="27" customFormat="false" ht="18" hidden="false" customHeight="true" outlineLevel="0" collapsed="false">
      <c r="B27" s="26" t="s">
        <v>144</v>
      </c>
      <c r="C27" s="27" t="n">
        <f aca="false">'⚙️ Допущения'!D38</f>
        <v>1000</v>
      </c>
      <c r="D27" s="27" t="n">
        <f aca="false">C27*12</f>
        <v>12000</v>
      </c>
      <c r="E27" s="28" t="s">
        <v>145</v>
      </c>
    </row>
    <row r="28" customFormat="false" ht="21.75" hidden="false" customHeight="true" outlineLevel="0" collapsed="false">
      <c r="B28" s="31" t="s">
        <v>146</v>
      </c>
      <c r="C28" s="32" t="n">
        <f aca="false">SUM(C25:C27)</f>
        <v>1100</v>
      </c>
      <c r="D28" s="32" t="n">
        <f aca="false">C28*12</f>
        <v>13200</v>
      </c>
      <c r="E28" s="33"/>
    </row>
    <row r="29" customFormat="false" ht="7.5" hidden="false" customHeight="true" outlineLevel="0" collapsed="false">
      <c r="B29" s="34"/>
      <c r="C29" s="34"/>
      <c r="D29" s="34"/>
      <c r="E29" s="34"/>
    </row>
    <row r="30" customFormat="false" ht="21.75" hidden="false" customHeight="true" outlineLevel="0" collapsed="false">
      <c r="B30" s="31" t="s">
        <v>147</v>
      </c>
      <c r="C30" s="32" t="n">
        <f aca="false">C8+C13+C18+C23+C28</f>
        <v>20016.6</v>
      </c>
      <c r="D30" s="32" t="n">
        <f aca="false">C30*12</f>
        <v>240199.2</v>
      </c>
      <c r="E30" s="33"/>
    </row>
    <row r="31" customFormat="false" ht="21.75" hidden="false" customHeight="true" outlineLevel="0" collapsed="false">
      <c r="B31" s="31" t="s">
        <v>148</v>
      </c>
      <c r="C31" s="32" t="n">
        <f aca="false">C30*12</f>
        <v>240199.2</v>
      </c>
      <c r="D31" s="32" t="n">
        <f aca="false">C31*12</f>
        <v>2882390.4</v>
      </c>
      <c r="E31" s="33"/>
    </row>
    <row r="32" customFormat="false" ht="7.5" hidden="false" customHeight="true" outlineLevel="0" collapsed="false">
      <c r="B32" s="34"/>
      <c r="C32" s="34"/>
      <c r="D32" s="34"/>
      <c r="E32" s="34"/>
    </row>
    <row r="33" customFormat="false" ht="18" hidden="false" customHeight="true" outlineLevel="0" collapsed="false">
      <c r="B33" s="25" t="s">
        <v>149</v>
      </c>
      <c r="C33" s="25"/>
      <c r="D33" s="25"/>
      <c r="E33" s="25"/>
    </row>
    <row r="34" customFormat="false" ht="18" hidden="false" customHeight="true" outlineLevel="0" collapsed="false">
      <c r="B34" s="26" t="s">
        <v>150</v>
      </c>
      <c r="C34" s="27" t="n">
        <f aca="false">'⚙️ Допущения'!D4</f>
        <v>1000</v>
      </c>
      <c r="D34" s="27" t="n">
        <f aca="false">C34*12</f>
        <v>12000</v>
      </c>
      <c r="E34" s="28" t="s">
        <v>151</v>
      </c>
    </row>
    <row r="35" customFormat="false" ht="18" hidden="false" customHeight="true" outlineLevel="0" collapsed="false">
      <c r="B35" s="29" t="s">
        <v>45</v>
      </c>
      <c r="C35" s="35" t="n">
        <f aca="false">'⚙️ Допущения'!D6</f>
        <v>0.08</v>
      </c>
      <c r="D35" s="35" t="n">
        <f aca="false">C35*12</f>
        <v>0.96</v>
      </c>
      <c r="E35" s="28"/>
    </row>
    <row r="36" customFormat="false" ht="18" hidden="false" customHeight="true" outlineLevel="0" collapsed="false">
      <c r="B36" s="26" t="s">
        <v>152</v>
      </c>
      <c r="C36" s="27" t="n">
        <f aca="false">ROUND(C34*C35, 0)</f>
        <v>80</v>
      </c>
      <c r="D36" s="27" t="n">
        <f aca="false">C36*12</f>
        <v>960</v>
      </c>
      <c r="E36" s="28" t="s">
        <v>153</v>
      </c>
    </row>
    <row r="37" customFormat="false" ht="18" hidden="false" customHeight="true" outlineLevel="0" collapsed="false">
      <c r="B37" s="29" t="s">
        <v>154</v>
      </c>
      <c r="C37" s="30" t="n">
        <f aca="false">ROUND(C36*'⚙️ Допущения'!D7/12, 0)</f>
        <v>3327</v>
      </c>
      <c r="D37" s="30" t="n">
        <f aca="false">C37*12</f>
        <v>39924</v>
      </c>
      <c r="E37" s="28" t="s">
        <v>155</v>
      </c>
    </row>
    <row r="38" customFormat="false" ht="18" hidden="false" customHeight="true" outlineLevel="0" collapsed="false">
      <c r="B38" s="26" t="s">
        <v>156</v>
      </c>
      <c r="C38" s="27" t="n">
        <f aca="false">C30</f>
        <v>20016.6</v>
      </c>
      <c r="D38" s="27" t="n">
        <f aca="false">C38*12</f>
        <v>240199.2</v>
      </c>
      <c r="E38" s="28"/>
    </row>
    <row r="39" customFormat="false" ht="18" hidden="false" customHeight="true" outlineLevel="0" collapsed="false">
      <c r="B39" s="29" t="s">
        <v>157</v>
      </c>
      <c r="C39" s="36" t="n">
        <f aca="false">C37-C38</f>
        <v>-16689.6</v>
      </c>
      <c r="D39" s="30" t="n">
        <f aca="false">C39*12</f>
        <v>-200275.2</v>
      </c>
      <c r="E39" s="28" t="s">
        <v>158</v>
      </c>
    </row>
  </sheetData>
  <mergeCells count="8">
    <mergeCell ref="B1:E1"/>
    <mergeCell ref="B2:E2"/>
    <mergeCell ref="B4:E4"/>
    <mergeCell ref="B9:E9"/>
    <mergeCell ref="B14:E14"/>
    <mergeCell ref="B19:E19"/>
    <mergeCell ref="B24:E24"/>
    <mergeCell ref="B33:E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6"/>
    <col collapsed="false" customWidth="true" hidden="false" outlineLevel="0" max="4" min="3" style="0" width="22"/>
    <col collapsed="false" customWidth="true" hidden="false" outlineLevel="0" max="5" min="5" style="0" width="40"/>
  </cols>
  <sheetData>
    <row r="1" customFormat="false" ht="31.5" hidden="false" customHeight="true" outlineLevel="0" collapsed="false">
      <c r="B1" s="10" t="s">
        <v>160</v>
      </c>
      <c r="C1" s="10"/>
      <c r="D1" s="10"/>
      <c r="E1" s="10"/>
    </row>
    <row r="2" customFormat="false" ht="19.5" hidden="false" customHeight="true" outlineLevel="0" collapsed="false">
      <c r="B2" s="2" t="s">
        <v>104</v>
      </c>
      <c r="C2" s="2"/>
      <c r="D2" s="2"/>
      <c r="E2" s="2"/>
    </row>
    <row r="3" customFormat="false" ht="19.5" hidden="false" customHeight="true" outlineLevel="0" collapsed="false">
      <c r="B3" s="11" t="s">
        <v>105</v>
      </c>
      <c r="C3" s="11" t="s">
        <v>106</v>
      </c>
      <c r="D3" s="11" t="s">
        <v>107</v>
      </c>
      <c r="E3" s="11" t="s">
        <v>108</v>
      </c>
    </row>
    <row r="4" customFormat="false" ht="18" hidden="false" customHeight="true" outlineLevel="0" collapsed="false">
      <c r="B4" s="25" t="s">
        <v>109</v>
      </c>
      <c r="C4" s="25"/>
      <c r="D4" s="25"/>
      <c r="E4" s="25"/>
    </row>
    <row r="5" customFormat="false" ht="18" hidden="false" customHeight="true" outlineLevel="0" collapsed="false">
      <c r="B5" s="26" t="s">
        <v>110</v>
      </c>
      <c r="C5" s="27" t="n">
        <f aca="false">'⚙️ Допущения'!E16*'⚙️ Допущения'!E17</f>
        <v>5400</v>
      </c>
      <c r="D5" s="27" t="n">
        <f aca="false">C5*12</f>
        <v>64800</v>
      </c>
      <c r="E5" s="28" t="s">
        <v>111</v>
      </c>
    </row>
    <row r="6" customFormat="false" ht="18" hidden="false" customHeight="true" outlineLevel="0" collapsed="false">
      <c r="B6" s="29" t="s">
        <v>112</v>
      </c>
      <c r="C6" s="30" t="n">
        <f aca="false">'⚙️ Допущения'!E18*'⚙️ Допущения'!E19</f>
        <v>12800</v>
      </c>
      <c r="D6" s="30" t="n">
        <f aca="false">C6*12</f>
        <v>153600</v>
      </c>
      <c r="E6" s="28" t="s">
        <v>113</v>
      </c>
    </row>
    <row r="7" customFormat="false" ht="18" hidden="false" customHeight="true" outlineLevel="0" collapsed="false">
      <c r="B7" s="26" t="s">
        <v>114</v>
      </c>
      <c r="C7" s="27" t="n">
        <f aca="false">'⚙️ Допущения'!E20</f>
        <v>650</v>
      </c>
      <c r="D7" s="27" t="n">
        <f aca="false">C7*12</f>
        <v>7800</v>
      </c>
      <c r="E7" s="28" t="s">
        <v>115</v>
      </c>
    </row>
    <row r="8" customFormat="false" ht="21.75" hidden="false" customHeight="true" outlineLevel="0" collapsed="false">
      <c r="B8" s="31" t="s">
        <v>116</v>
      </c>
      <c r="C8" s="32" t="n">
        <f aca="false">SUM(C5:C7)</f>
        <v>18850</v>
      </c>
      <c r="D8" s="32" t="n">
        <f aca="false">C8*12</f>
        <v>226200</v>
      </c>
      <c r="E8" s="33"/>
    </row>
    <row r="9" customFormat="false" ht="18" hidden="false" customHeight="true" outlineLevel="0" collapsed="false">
      <c r="B9" s="25" t="s">
        <v>117</v>
      </c>
      <c r="C9" s="25"/>
      <c r="D9" s="25"/>
      <c r="E9" s="25"/>
    </row>
    <row r="10" customFormat="false" ht="18" hidden="false" customHeight="true" outlineLevel="0" collapsed="false">
      <c r="B10" s="26" t="s">
        <v>118</v>
      </c>
      <c r="C10" s="27" t="n">
        <f aca="false">'⚙️ Допущения'!E22</f>
        <v>9500</v>
      </c>
      <c r="D10" s="27" t="n">
        <f aca="false">C10*12</f>
        <v>114000</v>
      </c>
      <c r="E10" s="28" t="s">
        <v>119</v>
      </c>
    </row>
    <row r="11" customFormat="false" ht="18" hidden="false" customHeight="true" outlineLevel="0" collapsed="false">
      <c r="B11" s="29" t="s">
        <v>120</v>
      </c>
      <c r="C11" s="30" t="n">
        <f aca="false">'⚙️ Допущения'!E23</f>
        <v>400</v>
      </c>
      <c r="D11" s="30" t="n">
        <f aca="false">C11*12</f>
        <v>4800</v>
      </c>
      <c r="E11" s="28" t="s">
        <v>121</v>
      </c>
    </row>
    <row r="12" customFormat="false" ht="18" hidden="false" customHeight="true" outlineLevel="0" collapsed="false">
      <c r="B12" s="26" t="s">
        <v>122</v>
      </c>
      <c r="C12" s="27" t="n">
        <f aca="false">'⚙️ Допущения'!E25</f>
        <v>4200</v>
      </c>
      <c r="D12" s="27" t="n">
        <f aca="false">C12*12</f>
        <v>50400</v>
      </c>
      <c r="E12" s="28" t="s">
        <v>123</v>
      </c>
    </row>
    <row r="13" customFormat="false" ht="21.75" hidden="false" customHeight="true" outlineLevel="0" collapsed="false">
      <c r="B13" s="31" t="s">
        <v>124</v>
      </c>
      <c r="C13" s="32" t="n">
        <f aca="false">SUM(C10:C12)</f>
        <v>14100</v>
      </c>
      <c r="D13" s="32" t="n">
        <f aca="false">C13*12</f>
        <v>169200</v>
      </c>
      <c r="E13" s="33"/>
    </row>
    <row r="14" customFormat="false" ht="18" hidden="false" customHeight="true" outlineLevel="0" collapsed="false">
      <c r="B14" s="25" t="s">
        <v>125</v>
      </c>
      <c r="C14" s="25"/>
      <c r="D14" s="25"/>
      <c r="E14" s="25"/>
    </row>
    <row r="15" customFormat="false" ht="18" hidden="false" customHeight="true" outlineLevel="0" collapsed="false">
      <c r="B15" s="26" t="s">
        <v>126</v>
      </c>
      <c r="C15" s="27" t="n">
        <f aca="false">'⚙️ Допущения'!E27*'⚙️ Допущения'!E29</f>
        <v>122.4</v>
      </c>
      <c r="D15" s="27" t="n">
        <f aca="false">C15*12</f>
        <v>1468.8</v>
      </c>
      <c r="E15" s="28" t="s">
        <v>127</v>
      </c>
    </row>
    <row r="16" customFormat="false" ht="18" hidden="false" customHeight="true" outlineLevel="0" collapsed="false">
      <c r="B16" s="29" t="s">
        <v>128</v>
      </c>
      <c r="C16" s="30" t="n">
        <f aca="false">'⚙️ Допущения'!E28*'⚙️ Допущения'!E29</f>
        <v>74.8</v>
      </c>
      <c r="D16" s="30" t="n">
        <f aca="false">C16*12</f>
        <v>897.6</v>
      </c>
      <c r="E16" s="28" t="s">
        <v>127</v>
      </c>
    </row>
    <row r="17" customFormat="false" ht="18" hidden="false" customHeight="true" outlineLevel="0" collapsed="false">
      <c r="B17" s="26" t="s">
        <v>129</v>
      </c>
      <c r="C17" s="27" t="n">
        <f aca="false">'⚙️ Допущения'!E30*'⚙️ Допущения'!E31</f>
        <v>535.5</v>
      </c>
      <c r="D17" s="27" t="n">
        <f aca="false">C17*12</f>
        <v>6426</v>
      </c>
      <c r="E17" s="28" t="s">
        <v>130</v>
      </c>
    </row>
    <row r="18" customFormat="false" ht="21.75" hidden="false" customHeight="true" outlineLevel="0" collapsed="false">
      <c r="B18" s="31" t="s">
        <v>131</v>
      </c>
      <c r="C18" s="32" t="n">
        <f aca="false">SUM(C15:C17)</f>
        <v>732.7</v>
      </c>
      <c r="D18" s="32" t="n">
        <f aca="false">C18*12</f>
        <v>8792.4</v>
      </c>
      <c r="E18" s="33"/>
    </row>
    <row r="19" customFormat="false" ht="18" hidden="false" customHeight="true" outlineLevel="0" collapsed="false">
      <c r="B19" s="25" t="s">
        <v>132</v>
      </c>
      <c r="C19" s="25"/>
      <c r="D19" s="25"/>
      <c r="E19" s="25"/>
    </row>
    <row r="20" customFormat="false" ht="18" hidden="false" customHeight="true" outlineLevel="0" collapsed="false">
      <c r="B20" s="26" t="s">
        <v>133</v>
      </c>
      <c r="C20" s="27" t="n">
        <f aca="false">0</f>
        <v>0</v>
      </c>
      <c r="D20" s="27" t="n">
        <f aca="false">C20*12</f>
        <v>0</v>
      </c>
      <c r="E20" s="28" t="s">
        <v>134</v>
      </c>
    </row>
    <row r="21" customFormat="false" ht="18" hidden="false" customHeight="true" outlineLevel="0" collapsed="false">
      <c r="B21" s="29" t="s">
        <v>135</v>
      </c>
      <c r="C21" s="30" t="n">
        <f aca="false">0</f>
        <v>0</v>
      </c>
      <c r="D21" s="30" t="n">
        <f aca="false">C21*12</f>
        <v>0</v>
      </c>
      <c r="E21" s="28" t="s">
        <v>136</v>
      </c>
    </row>
    <row r="22" customFormat="false" ht="18" hidden="false" customHeight="true" outlineLevel="0" collapsed="false">
      <c r="B22" s="26" t="s">
        <v>137</v>
      </c>
      <c r="C22" s="27" t="n">
        <f aca="false">MAX(0, ('⚙️ Допущения'!E4 * '⚙️ Допущения'!E5 * '⚙️ Допущения'!E10 - '⚙️ Допущения'!E34/1000) * '⚙️ Допущения'!E33 * '⚙️ Допущения'!E13 / 1)</f>
        <v>3374865</v>
      </c>
      <c r="D22" s="27" t="n">
        <f aca="false">C22*12</f>
        <v>40498380</v>
      </c>
      <c r="E22" s="28" t="s">
        <v>138</v>
      </c>
    </row>
    <row r="23" customFormat="false" ht="21.75" hidden="false" customHeight="true" outlineLevel="0" collapsed="false">
      <c r="B23" s="31" t="s">
        <v>139</v>
      </c>
      <c r="C23" s="32" t="n">
        <f aca="false">SUM(C20:C22)</f>
        <v>3374865</v>
      </c>
      <c r="D23" s="32" t="n">
        <f aca="false">C23*12</f>
        <v>40498380</v>
      </c>
      <c r="E23" s="33"/>
    </row>
    <row r="24" customFormat="false" ht="18" hidden="false" customHeight="true" outlineLevel="0" collapsed="false">
      <c r="B24" s="25" t="s">
        <v>140</v>
      </c>
      <c r="C24" s="25"/>
      <c r="D24" s="25"/>
      <c r="E24" s="25"/>
    </row>
    <row r="25" customFormat="false" ht="18" hidden="false" customHeight="true" outlineLevel="0" collapsed="false">
      <c r="B25" s="26" t="s">
        <v>141</v>
      </c>
      <c r="C25" s="27" t="n">
        <f aca="false">'⚙️ Допущения'!E36</f>
        <v>2160</v>
      </c>
      <c r="D25" s="27" t="n">
        <f aca="false">C25*12</f>
        <v>25920</v>
      </c>
      <c r="E25" s="28" t="s">
        <v>142</v>
      </c>
    </row>
    <row r="26" customFormat="false" ht="18" hidden="false" customHeight="true" outlineLevel="0" collapsed="false">
      <c r="B26" s="29" t="s">
        <v>143</v>
      </c>
      <c r="C26" s="30" t="n">
        <f aca="false">'⚙️ Допущения'!E37</f>
        <v>100</v>
      </c>
      <c r="D26" s="30" t="n">
        <f aca="false">C26*12</f>
        <v>1200</v>
      </c>
      <c r="E26" s="28" t="s">
        <v>100</v>
      </c>
    </row>
    <row r="27" customFormat="false" ht="18" hidden="false" customHeight="true" outlineLevel="0" collapsed="false">
      <c r="B27" s="26" t="s">
        <v>144</v>
      </c>
      <c r="C27" s="27" t="n">
        <f aca="false">'⚙️ Допущения'!E38</f>
        <v>3000</v>
      </c>
      <c r="D27" s="27" t="n">
        <f aca="false">C27*12</f>
        <v>36000</v>
      </c>
      <c r="E27" s="28" t="s">
        <v>145</v>
      </c>
    </row>
    <row r="28" customFormat="false" ht="21.75" hidden="false" customHeight="true" outlineLevel="0" collapsed="false">
      <c r="B28" s="31" t="s">
        <v>146</v>
      </c>
      <c r="C28" s="32" t="n">
        <f aca="false">SUM(C25:C27)</f>
        <v>5260</v>
      </c>
      <c r="D28" s="32" t="n">
        <f aca="false">C28*12</f>
        <v>63120</v>
      </c>
      <c r="E28" s="33"/>
    </row>
    <row r="29" customFormat="false" ht="7.5" hidden="false" customHeight="true" outlineLevel="0" collapsed="false">
      <c r="B29" s="34"/>
      <c r="C29" s="34"/>
      <c r="D29" s="34"/>
      <c r="E29" s="34"/>
    </row>
    <row r="30" customFormat="false" ht="21.75" hidden="false" customHeight="true" outlineLevel="0" collapsed="false">
      <c r="B30" s="31" t="s">
        <v>147</v>
      </c>
      <c r="C30" s="32" t="n">
        <f aca="false">C8+C13+C18+C23+C28</f>
        <v>3413807.7</v>
      </c>
      <c r="D30" s="32" t="n">
        <f aca="false">C30*12</f>
        <v>40965692.4</v>
      </c>
      <c r="E30" s="33"/>
    </row>
    <row r="31" customFormat="false" ht="21.75" hidden="false" customHeight="true" outlineLevel="0" collapsed="false">
      <c r="B31" s="31" t="s">
        <v>148</v>
      </c>
      <c r="C31" s="32" t="n">
        <f aca="false">C30*12</f>
        <v>40965692.4</v>
      </c>
      <c r="D31" s="32" t="n">
        <f aca="false">C31*12</f>
        <v>491588308.8</v>
      </c>
      <c r="E31" s="33"/>
    </row>
    <row r="32" customFormat="false" ht="7.5" hidden="false" customHeight="true" outlineLevel="0" collapsed="false">
      <c r="B32" s="34"/>
      <c r="C32" s="34"/>
      <c r="D32" s="34"/>
      <c r="E32" s="34"/>
    </row>
    <row r="33" customFormat="false" ht="18" hidden="false" customHeight="true" outlineLevel="0" collapsed="false">
      <c r="B33" s="25" t="s">
        <v>149</v>
      </c>
      <c r="C33" s="25"/>
      <c r="D33" s="25"/>
      <c r="E33" s="25"/>
    </row>
    <row r="34" customFormat="false" ht="18" hidden="false" customHeight="true" outlineLevel="0" collapsed="false">
      <c r="B34" s="26" t="s">
        <v>150</v>
      </c>
      <c r="C34" s="27" t="n">
        <f aca="false">'⚙️ Допущения'!E4</f>
        <v>5000</v>
      </c>
      <c r="D34" s="27" t="n">
        <f aca="false">C34*12</f>
        <v>60000</v>
      </c>
      <c r="E34" s="28" t="s">
        <v>151</v>
      </c>
    </row>
    <row r="35" customFormat="false" ht="18" hidden="false" customHeight="true" outlineLevel="0" collapsed="false">
      <c r="B35" s="29" t="s">
        <v>45</v>
      </c>
      <c r="C35" s="35" t="n">
        <f aca="false">'⚙️ Допущения'!E6</f>
        <v>0.12</v>
      </c>
      <c r="D35" s="35" t="n">
        <f aca="false">C35*12</f>
        <v>1.44</v>
      </c>
      <c r="E35" s="28"/>
    </row>
    <row r="36" customFormat="false" ht="18" hidden="false" customHeight="true" outlineLevel="0" collapsed="false">
      <c r="B36" s="26" t="s">
        <v>152</v>
      </c>
      <c r="C36" s="27" t="n">
        <f aca="false">ROUND(C34*C35, 0)</f>
        <v>600</v>
      </c>
      <c r="D36" s="27" t="n">
        <f aca="false">C36*12</f>
        <v>7200</v>
      </c>
      <c r="E36" s="28" t="s">
        <v>153</v>
      </c>
    </row>
    <row r="37" customFormat="false" ht="18" hidden="false" customHeight="true" outlineLevel="0" collapsed="false">
      <c r="B37" s="29" t="s">
        <v>154</v>
      </c>
      <c r="C37" s="30" t="n">
        <f aca="false">ROUND(C36*'⚙️ Допущения'!E7/12, 0)</f>
        <v>24950</v>
      </c>
      <c r="D37" s="30" t="n">
        <f aca="false">C37*12</f>
        <v>299400</v>
      </c>
      <c r="E37" s="28" t="s">
        <v>155</v>
      </c>
    </row>
    <row r="38" customFormat="false" ht="18" hidden="false" customHeight="true" outlineLevel="0" collapsed="false">
      <c r="B38" s="26" t="s">
        <v>156</v>
      </c>
      <c r="C38" s="27" t="n">
        <f aca="false">C30</f>
        <v>3413807.7</v>
      </c>
      <c r="D38" s="27" t="n">
        <f aca="false">C38*12</f>
        <v>40965692.4</v>
      </c>
      <c r="E38" s="28"/>
    </row>
    <row r="39" customFormat="false" ht="18" hidden="false" customHeight="true" outlineLevel="0" collapsed="false">
      <c r="B39" s="29" t="s">
        <v>157</v>
      </c>
      <c r="C39" s="36" t="n">
        <f aca="false">C37-C38</f>
        <v>-3388857.7</v>
      </c>
      <c r="D39" s="30" t="n">
        <f aca="false">C39*12</f>
        <v>-40666292.4</v>
      </c>
      <c r="E39" s="28" t="s">
        <v>158</v>
      </c>
    </row>
  </sheetData>
  <mergeCells count="8">
    <mergeCell ref="B1:E1"/>
    <mergeCell ref="B2:E2"/>
    <mergeCell ref="B4:E4"/>
    <mergeCell ref="B9:E9"/>
    <mergeCell ref="B14:E14"/>
    <mergeCell ref="B19:E19"/>
    <mergeCell ref="B24:E24"/>
    <mergeCell ref="B33:E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2"/>
    <col collapsed="false" customWidth="true" hidden="false" outlineLevel="0" max="5" min="3" style="0" width="18"/>
    <col collapsed="false" customWidth="true" hidden="false" outlineLevel="0" max="6" min="6" style="0" width="40"/>
  </cols>
  <sheetData>
    <row r="1" customFormat="false" ht="31.5" hidden="false" customHeight="true" outlineLevel="0" collapsed="false">
      <c r="B1" s="10" t="s">
        <v>161</v>
      </c>
      <c r="C1" s="10"/>
      <c r="D1" s="10"/>
      <c r="E1" s="10"/>
      <c r="F1" s="10"/>
    </row>
    <row r="2" customFormat="false" ht="19.5" hidden="false" customHeight="true" outlineLevel="0" collapsed="false">
      <c r="B2" s="2" t="s">
        <v>162</v>
      </c>
      <c r="C2" s="2"/>
      <c r="D2" s="2"/>
      <c r="E2" s="2"/>
      <c r="F2" s="2"/>
    </row>
    <row r="3" customFormat="false" ht="21.75" hidden="false" customHeight="true" outlineLevel="0" collapsed="false">
      <c r="B3" s="37" t="s">
        <v>163</v>
      </c>
      <c r="C3" s="37" t="s">
        <v>164</v>
      </c>
      <c r="D3" s="37" t="s">
        <v>36</v>
      </c>
      <c r="E3" s="37" t="s">
        <v>37</v>
      </c>
      <c r="F3" s="37" t="s">
        <v>39</v>
      </c>
    </row>
    <row r="4" customFormat="false" ht="19.5" hidden="false" customHeight="true" outlineLevel="0" collapsed="false">
      <c r="B4" s="6" t="s">
        <v>165</v>
      </c>
      <c r="C4" s="27" t="n">
        <f aca="false">'🚀 MVP (0–100 MAU)'!C8</f>
        <v>5000</v>
      </c>
      <c r="D4" s="27" t="n">
        <f aca="false">'📈 1 000 MAU'!C8</f>
        <v>10650</v>
      </c>
      <c r="E4" s="27" t="n">
        <f aca="false">'🚀 5 000 MAU'!C8</f>
        <v>18850</v>
      </c>
      <c r="F4" s="28" t="s">
        <v>166</v>
      </c>
    </row>
    <row r="5" customFormat="false" ht="19.5" hidden="false" customHeight="true" outlineLevel="0" collapsed="false">
      <c r="B5" s="3" t="s">
        <v>167</v>
      </c>
      <c r="C5" s="30" t="n">
        <f aca="false">'🚀 MVP (0–100 MAU)'!C13</f>
        <v>3800</v>
      </c>
      <c r="D5" s="30" t="n">
        <f aca="false">'📈 1 000 MAU'!C13</f>
        <v>8100</v>
      </c>
      <c r="E5" s="30" t="n">
        <f aca="false">'🚀 5 000 MAU'!C13</f>
        <v>14100</v>
      </c>
      <c r="F5" s="28" t="s">
        <v>168</v>
      </c>
    </row>
    <row r="6" customFormat="false" ht="19.5" hidden="false" customHeight="true" outlineLevel="0" collapsed="false">
      <c r="B6" s="6" t="s">
        <v>169</v>
      </c>
      <c r="C6" s="27" t="n">
        <f aca="false">'🚀 MVP (0–100 MAU)'!C18</f>
        <v>20.74</v>
      </c>
      <c r="D6" s="27" t="n">
        <f aca="false">'📈 1 000 MAU'!C18</f>
        <v>166.6</v>
      </c>
      <c r="E6" s="27" t="n">
        <f aca="false">'🚀 5 000 MAU'!C18</f>
        <v>732.7</v>
      </c>
      <c r="F6" s="28" t="s">
        <v>170</v>
      </c>
    </row>
    <row r="7" customFormat="false" ht="19.5" hidden="false" customHeight="true" outlineLevel="0" collapsed="false">
      <c r="B7" s="3" t="s">
        <v>171</v>
      </c>
      <c r="C7" s="30" t="n">
        <f aca="false">'🚀 MVP (0–100 MAU)'!C23</f>
        <v>0</v>
      </c>
      <c r="D7" s="30" t="n">
        <f aca="false">'📈 1 000 MAU'!C23</f>
        <v>0</v>
      </c>
      <c r="E7" s="30" t="n">
        <f aca="false">'🚀 5 000 MAU'!C23</f>
        <v>3374865</v>
      </c>
      <c r="F7" s="28" t="s">
        <v>172</v>
      </c>
    </row>
    <row r="8" customFormat="false" ht="19.5" hidden="false" customHeight="true" outlineLevel="0" collapsed="false">
      <c r="B8" s="6" t="s">
        <v>96</v>
      </c>
      <c r="C8" s="27" t="n">
        <f aca="false">'🚀 MVP (0–100 MAU)'!C28</f>
        <v>600</v>
      </c>
      <c r="D8" s="27" t="n">
        <f aca="false">'📈 1 000 MAU'!C28</f>
        <v>1100</v>
      </c>
      <c r="E8" s="27" t="n">
        <f aca="false">'🚀 5 000 MAU'!C28</f>
        <v>5260</v>
      </c>
      <c r="F8" s="28" t="s">
        <v>173</v>
      </c>
    </row>
    <row r="9" customFormat="false" ht="19.5" hidden="false" customHeight="true" outlineLevel="0" collapsed="false">
      <c r="B9" s="4" t="s">
        <v>174</v>
      </c>
      <c r="C9" s="38" t="n">
        <f aca="false">'🚀 MVP (0–100 MAU)'!C30</f>
        <v>9420.74</v>
      </c>
      <c r="D9" s="38" t="n">
        <f aca="false">'📈 1 000 MAU'!C30</f>
        <v>20016.6</v>
      </c>
      <c r="E9" s="38" t="n">
        <f aca="false">'🚀 5 000 MAU'!C30</f>
        <v>3413807.7</v>
      </c>
      <c r="F9" s="28"/>
    </row>
    <row r="10" customFormat="false" ht="19.5" hidden="false" customHeight="true" outlineLevel="0" collapsed="false">
      <c r="B10" s="4" t="s">
        <v>175</v>
      </c>
      <c r="C10" s="38" t="n">
        <f aca="false">'🚀 MVP (0–100 MAU)'!C31</f>
        <v>113048.88</v>
      </c>
      <c r="D10" s="38" t="n">
        <f aca="false">'📈 1 000 MAU'!C31</f>
        <v>240199.2</v>
      </c>
      <c r="E10" s="38" t="n">
        <f aca="false">'🚀 5 000 MAU'!C31</f>
        <v>40965692.4</v>
      </c>
      <c r="F10" s="28"/>
    </row>
    <row r="11" customFormat="false" ht="19.5" hidden="false" customHeight="true" outlineLevel="0" collapsed="false">
      <c r="B11" s="3" t="s">
        <v>176</v>
      </c>
      <c r="C11" s="30" t="n">
        <f aca="false">'🚀 MVP (0–100 MAU)'!C34</f>
        <v>50</v>
      </c>
      <c r="D11" s="30" t="n">
        <f aca="false">'📈 1 000 MAU'!C34</f>
        <v>1000</v>
      </c>
      <c r="E11" s="30" t="n">
        <f aca="false">'🚀 5 000 MAU'!C34</f>
        <v>5000</v>
      </c>
      <c r="F11" s="28"/>
    </row>
    <row r="12" customFormat="false" ht="19.5" hidden="false" customHeight="true" outlineLevel="0" collapsed="false">
      <c r="B12" s="6" t="s">
        <v>177</v>
      </c>
      <c r="C12" s="27" t="n">
        <f aca="false">'🚀 MVP (0–100 MAU)'!C37</f>
        <v>125</v>
      </c>
      <c r="D12" s="27" t="n">
        <f aca="false">'📈 1 000 MAU'!C37</f>
        <v>3327</v>
      </c>
      <c r="E12" s="27" t="n">
        <f aca="false">'🚀 5 000 MAU'!C37</f>
        <v>24950</v>
      </c>
      <c r="F12" s="28" t="s">
        <v>178</v>
      </c>
    </row>
    <row r="13" customFormat="false" ht="19.5" hidden="false" customHeight="true" outlineLevel="0" collapsed="false">
      <c r="B13" s="3" t="s">
        <v>179</v>
      </c>
      <c r="C13" s="30" t="n">
        <f aca="false">'🚀 MVP (0–100 MAU)'!C39</f>
        <v>-9295.74</v>
      </c>
      <c r="D13" s="30" t="n">
        <f aca="false">'📈 1 000 MAU'!C39</f>
        <v>-16689.6</v>
      </c>
      <c r="E13" s="30" t="n">
        <f aca="false">'🚀 5 000 MAU'!C39</f>
        <v>-3388857.7</v>
      </c>
      <c r="F13" s="28" t="s">
        <v>180</v>
      </c>
    </row>
  </sheetData>
  <mergeCells count="2">
    <mergeCell ref="B1:F1"/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2026-03-14T18:20:00Z</dcterms:created>
  <dc:creator>openpyxl</dc:creator>
  <dc:description/>
  <dc:language>en-US</dc:language>
  <cp:lastModifiedBy/>
  <dcterms:modified xsi:type="dcterms:W3CDTF">2026-03-14T18:20:00Z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